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8B43A2E5-11FD-4D26-8BA1-92408C8EBC4B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D9" i="3"/>
  <c r="D12" i="3"/>
  <c r="K3" i="3"/>
  <c r="C4" i="3"/>
  <c r="K11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<sst xmlns="http://schemas.openxmlformats.org/spreadsheetml/2006/main" count="149" uniqueCount="117">
  <si>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</si>
  <si>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</si>
  <si>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</si>
  <si>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</si>
  <si>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</si>
  <si>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</si>
  <si>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</si>
  <si>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</si>
  <si>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</si>
  <si>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</si>
  <si>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</si>
  <si>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</si>
  <si>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</si>
  <si>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</si>
  <si>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</si>
  <si>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</si>
  <si>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</si>
  <si>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</si>
  <si>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</si>
  <si>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</si>
  <si>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</si>
  <si>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</si>
  <si>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</si>
  <si>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</si>
  <si>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</si>
  <si>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</si>
  <si>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</si>
  <si>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</si>
  <si>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</si>
  <si>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</si>
  <si>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</si>
  <si>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</si>
  <si>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</si>
  <si>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</si>
  <si>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</si>
  <si>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</si>
  <si>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</si>
  <si>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</si>
  <si>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</si>
  <si>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</si>
  <si>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</si>
  <si>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</si>
  <si>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</si>
  <si>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</si>
  <si>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</si>
  <si>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</si>
  <si>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</si>
  <si>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</si>
  <si>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</si>
  <si>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</si>
  <si>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</si>
  <si>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</si>
  <si>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</si>
  <si>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</si>
  <si>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</si>
  <si>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</si>
  <si>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</si>
  <si>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</si>
  <si>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</si>
  <si>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</si>
  <si>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</si>
  <si>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</si>
  <si>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</si>
  <si>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</si>
  <si>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</si>
  <si>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</si>
  <si>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</si>
  <si>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</si>
  <si>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</si>
  <si>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</si>
  <si>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</si>
  <si>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</si>
  <si>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</si>
  <si>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</si>
  <si>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</si>
  <si>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</si>
  <si>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</si>
  <si>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</si>
  <si>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</si>
  <si>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</si>
  <si>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</si>
  <si>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</si>
  <si>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</si>
  <si>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</si>
  <si>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</si>
  <si>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</si>
  <si>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</si>
  <si>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</si>
  <si>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</si>
  <si>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</si>
  <si>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</si>
  <si>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</si>
  <si>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</si>
  <si>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</si>
  <si>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</si>
  <si>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</si>
  <si>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</si>
  <si>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</si>
  <si>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</si>
  <si>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</si>
  <si>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</si>
  <si>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</si>
  <si>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</si>
  <si>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</si>
  <si>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</si>
  <si>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</si>
  <si>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</si>
  <si>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</si>
  <si>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${offerValidation.SELLINGCOMPANY}</t>
  </si>
  <si>
    <t>${offerValidation.DISTRIBUTORNAME}</t>
  </si>
  <si>
    <t>${offerValidation.DISTRIBUTORADDRESS}</t>
  </si>
  <si>
    <t>${table:offerProductValidation.PRODUCTNAME}</t>
  </si>
  <si>
    <t>${offerValidation.CUSTOMER_CODE}</t>
  </si>
  <si>
    <t xml:space="preserve">Offer QTY 
</t>
  </si>
  <si>
    <t xml:space="preserve">
UoM</t>
  </si>
  <si>
    <t>${table:offerProductValidation.DOSAGE}</t>
  </si>
  <si>
    <t>${table:offerProductValidation.MANUFACTURER}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</si>
</sst>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left" vertical="center"/>
    </xf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left" vertical="top"/>
    </xf>
    <xf numFmtId="0" fontId="5" fillId="0" borderId="5" xfId="0" applyFont="1" applyBorder="1" applyAlignment="1">
      <alignment horizontal="left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4" borderId="5" xfId="0" applyFont="1" applyFill="1" applyBorder="1" applyAlignment="1">
      <alignment horizontal="left" vertical="top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9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/>
    </xf>
    <xf numFmtId="0" fontId="7" fillId="5" borderId="19" xfId="0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6" fillId="4" borderId="18" xfId="0" applyFont="1" applyFill="1" applyBorder="1" applyAlignment="1">
      <alignment horizontal="center" vertical="center" wrapText="1"/>
    </xf>
    <xf numFmtId="49" fontId="5" fillId="0" borderId="1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6" fillId="4" borderId="19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3" borderId="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6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 applyAlignment="1">
      <alignment horizontal="left" wrapText="1"/>
    </xf>
    <xf numFmtId="0" fontId="0" fillId="0" borderId="5" xfId="0" applyBorder="1" applyAlignment="1">
      <alignment horizontal="center"/>
    </xf>
    <xf numFmtId="49" fontId="5" fillId="0" borderId="10" xfId="0" applyNumberFormat="1" applyFont="1" applyBorder="1" applyAlignment="1">
      <alignment horizontal="left" vertical="top"/>
    </xf>
    <xf numFmtId="49" fontId="5" fillId="0" borderId="17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  <xf numFmtId="0" fontId="6" fillId="4" borderId="0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/>
    <xf numFmtId="0" fontId="5" fillId="0" borderId="8" xfId="0" applyFont="1" applyBorder="1" applyAlignment="1">
      <alignment vertical="center"/>
    </xf>
    <xf numFmtId="0" fontId="5" fillId="4" borderId="5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wrapText="1"/>
    </xf>
    <xf numFmtId="0" fontId="6" fillId="4" borderId="11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6" fillId="4" borderId="18" xfId="0" applyFont="1" applyFill="1" applyBorder="1" applyAlignment="1">
      <alignment horizontal="center" wrapText="1"/>
    </xf>
    <xf numFmtId="0" fontId="6" fillId="4" borderId="13" xfId="0" applyFont="1" applyFill="1" applyBorder="1" applyAlignment="1">
      <alignment horizontal="center" wrapText="1"/>
    </xf>
    <xf numFmtId="0" fontId="6" fillId="4" borderId="14" xfId="0" applyFont="1" applyFill="1" applyBorder="1" applyAlignment="1">
      <alignment horizontal="center" wrapText="1"/>
    </xf>
    <xf numFmtId="0" fontId="5" fillId="0" borderId="5" xfId="0" applyFont="1" applyBorder="1" applyAlignment="1">
      <alignment vertical="center"/>
    </xf>
    <xf numFmtId="43" fontId="5" fillId="0" borderId="5" xfId="1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43" fontId="5" fillId="0" borderId="6" xfId="1" applyFont="1" applyBorder="1" applyAlignment="1">
      <alignment horizontal="center"/>
    </xf>
    <xf numFmtId="43" fontId="5" fillId="0" borderId="8" xfId="1" applyFont="1" applyBorder="1" applyAlignment="1">
      <alignment horizontal="center"/>
    </xf>
    <xf numFmtId="43" fontId="5" fillId="0" borderId="13" xfId="1" applyFont="1" applyBorder="1" applyAlignment="1">
      <alignment horizontal="center"/>
    </xf>
    <xf numFmtId="43" fontId="5" fillId="0" borderId="14" xfId="1" applyFont="1" applyBorder="1" applyAlignment="1">
      <alignment horizontal="center"/>
    </xf>
    <xf numFmtId="0" fontId="0" fillId="0" borderId="5" xfId="0" applyBorder="1"/>
    <xf numFmtId="0" fontId="5" fillId="4" borderId="6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3" borderId="16" xfId="0" applyFont="1" applyFill="1" applyBorder="1" applyAlignment="1">
      <alignment horizontal="center"/>
    </xf>
    <xf numFmtId="0" fontId="7" fillId="3" borderId="0" xfId="0" applyFont="1" applyFill="1" applyBorder="1" applyAlignment="1">
      <alignment horizontal="center"/>
    </xf>
    <xf numFmtId="0" fontId="5" fillId="0" borderId="5" xfId="0" applyFont="1" applyBorder="1" applyAlignment="1"/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9</xdr:col>
      <xdr:colOff>554047</xdr:colOff>
      <xdr:row>36</xdr:row>
      <xdr:rowOff>7997</xdr:rowOff>
    </xdr:from>
    <xdr:to>
      <xdr:col>11</xdr:col>
      <xdr:colOff>536843</xdr:colOff>
      <xdr:row>40</xdr:row>
      <xdr:rowOff>19691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1CDDEB-371C-4DF3-A3BA-E535456AD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3714" y="6865997"/>
          <a:ext cx="1527962" cy="77369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4" totalsRowShown="0" headerRowDxfId="6">
  <autoFilter ref="A1:B14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Y44"/>
  <sheetViews>
    <sheetView tabSelected="1" zoomScale="90" zoomScaleNormal="90" workbookViewId="0">
      <selection activeCell="Q30" sqref="Q30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2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25" x14ac:dyDescent="0.25">
      <c r="B3" s="31" t="s">
        <v>63</v>
      </c>
      <c r="C3" s="41" t="s">
        <v>109</v>
      </c>
      <c r="D3" s="41"/>
      <c r="E3" s="41"/>
      <c r="F3" s="41"/>
      <c r="G3" s="41"/>
      <c r="H3" s="11"/>
      <c r="I3" s="10"/>
      <c r="J3" s="31" t="s">
        <v>64</v>
      </c>
      <c r="K3" s="41" t="str">
        <f>Settings!A11</f>
        <v>${offerValidation.SELLINGCOMPANY}</v>
      </c>
      <c r="L3" s="41"/>
      <c r="M3" s="41"/>
      <c r="N3" s="41"/>
      <c r="O3" s="10"/>
      <c r="P3" s="10"/>
      <c r="Q3" s="10"/>
    </row>
    <row r="4" spans="2:25" x14ac:dyDescent="0.25">
      <c r="B4" s="31" t="s">
        <v>65</v>
      </c>
      <c r="C4" s="42" t="str">
        <f>Settings!A13</f>
        <v>${offerValidation.DISTRIBUTORADDRESS}</v>
      </c>
      <c r="D4" s="43"/>
      <c r="E4" s="43"/>
      <c r="F4" s="43"/>
      <c r="G4" s="44"/>
      <c r="H4" s="12"/>
      <c r="I4" s="10"/>
      <c r="J4" s="31" t="s">
        <v>65</v>
      </c>
      <c r="K4" s="45"/>
      <c r="L4" s="46"/>
      <c r="M4" s="46"/>
      <c r="N4" s="47"/>
      <c r="O4" s="10"/>
      <c r="P4" s="10"/>
      <c r="Q4" s="10"/>
    </row>
    <row r="5" spans="2:25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25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25" x14ac:dyDescent="0.25">
      <c r="B7" s="49" t="s">
        <v>66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1"/>
    </row>
    <row r="8" spans="2:25" x14ac:dyDescent="0.25">
      <c r="B8" s="48" t="s">
        <v>67</v>
      </c>
      <c r="C8" s="48"/>
      <c r="D8" s="42"/>
      <c r="E8" s="43"/>
      <c r="F8" s="43"/>
      <c r="G8" s="43"/>
      <c r="H8" s="44"/>
      <c r="I8" s="52" t="s">
        <v>68</v>
      </c>
      <c r="J8" s="53"/>
      <c r="K8" s="96"/>
      <c r="L8" s="97"/>
      <c r="M8" s="97"/>
      <c r="N8" s="98"/>
      <c r="O8" s="29" t="s">
        <v>69</v>
      </c>
      <c r="P8" s="30"/>
      <c r="Q8" s="95"/>
      <c r="R8" s="95"/>
      <c r="S8" s="95"/>
    </row>
    <row r="9" spans="2:25" x14ac:dyDescent="0.25">
      <c r="B9" s="48" t="s">
        <v>70</v>
      </c>
      <c r="C9" s="48"/>
      <c r="D9" s="42" t="str">
        <f>Settings!A14</f>
        <v>${offerValidation.CUSTOMER_CODE}</v>
      </c>
      <c r="E9" s="43"/>
      <c r="F9" s="43"/>
      <c r="G9" s="43"/>
      <c r="H9" s="44"/>
      <c r="I9" s="54" t="s">
        <v>71</v>
      </c>
      <c r="J9" s="55"/>
      <c r="K9" s="99" t="s">
        <v>17</v>
      </c>
      <c r="L9" s="99"/>
      <c r="M9" s="99"/>
      <c r="N9" s="99"/>
      <c r="O9" s="29" t="s">
        <v>72</v>
      </c>
      <c r="P9" s="30"/>
      <c r="Q9" s="95"/>
      <c r="R9" s="95"/>
      <c r="S9" s="95"/>
    </row>
    <row r="10" spans="2:25" x14ac:dyDescent="0.25">
      <c r="B10" s="48" t="s">
        <v>73</v>
      </c>
      <c r="C10" s="48"/>
      <c r="D10" s="42" t="str">
        <f>Settings!A9</f>
        <v>${offerValidation.INSTITUTENAME}</v>
      </c>
      <c r="E10" s="43"/>
      <c r="F10" s="43"/>
      <c r="G10" s="43"/>
      <c r="H10" s="44"/>
      <c r="I10" s="56" t="s">
        <v>5</v>
      </c>
      <c r="J10" s="57"/>
      <c r="K10" s="99" t="s">
        <v>18</v>
      </c>
      <c r="L10" s="99"/>
      <c r="M10" s="99"/>
      <c r="N10" s="99"/>
      <c r="O10" s="29" t="s">
        <v>74</v>
      </c>
      <c r="P10" s="30"/>
      <c r="Q10" s="95"/>
      <c r="R10" s="95"/>
      <c r="S10" s="95"/>
    </row>
    <row r="11" spans="2:25" ht="15" customHeight="1" x14ac:dyDescent="0.25">
      <c r="B11" s="48" t="s">
        <v>6</v>
      </c>
      <c r="C11" s="48"/>
      <c r="D11" s="58" t="str">
        <f>Settings!A12</f>
        <v>${offerValidation.DISTRIBUTORNAME}</v>
      </c>
      <c r="E11" s="59"/>
      <c r="F11" s="59"/>
      <c r="G11" s="59"/>
      <c r="H11" s="60"/>
      <c r="I11" s="52" t="s">
        <v>7</v>
      </c>
      <c r="J11" s="53"/>
      <c r="K11" s="94" t="str">
        <f>Settings!A7</f>
        <v>${offerValidation.PAYMENTTERMS}</v>
      </c>
      <c r="L11" s="94"/>
      <c r="M11" s="94"/>
      <c r="N11" s="94"/>
      <c r="O11" s="29" t="s">
        <v>72</v>
      </c>
      <c r="P11" s="30"/>
      <c r="Q11" s="95"/>
      <c r="R11" s="95"/>
      <c r="S11" s="95"/>
    </row>
    <row r="12" spans="2:25" x14ac:dyDescent="0.25">
      <c r="B12" s="48" t="s">
        <v>8</v>
      </c>
      <c r="C12" s="48"/>
      <c r="D12" s="58" t="str">
        <f>Settings!A8</f>
        <v>${offerValidation.DELIVERYTERMS}</v>
      </c>
      <c r="E12" s="59"/>
      <c r="F12" s="59"/>
      <c r="G12" s="59"/>
      <c r="H12" s="60"/>
      <c r="I12" s="10"/>
      <c r="J12" s="10"/>
      <c r="K12" s="10"/>
      <c r="L12" s="10"/>
      <c r="M12" s="10"/>
      <c r="N12" s="10"/>
      <c r="O12" s="10"/>
      <c r="P12" s="10"/>
      <c r="Q12" s="10"/>
    </row>
    <row r="13" spans="2:25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25" x14ac:dyDescent="0.25">
      <c r="B14" s="71" t="s">
        <v>75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120"/>
      <c r="R14" s="120"/>
    </row>
    <row r="15" spans="2:25" ht="15" customHeight="1" x14ac:dyDescent="0.25">
      <c r="B15" s="67" t="s">
        <v>76</v>
      </c>
      <c r="C15" s="101" t="s">
        <v>77</v>
      </c>
      <c r="D15" s="101"/>
      <c r="E15" s="36" t="s">
        <v>78</v>
      </c>
      <c r="F15" s="37"/>
      <c r="G15" s="64"/>
      <c r="H15" s="36" t="s">
        <v>79</v>
      </c>
      <c r="I15" s="37"/>
      <c r="J15" s="37"/>
      <c r="K15" s="112" t="s">
        <v>113</v>
      </c>
      <c r="L15" s="113"/>
      <c r="M15" s="61" t="s">
        <v>114</v>
      </c>
      <c r="N15" s="70" t="s">
        <v>9</v>
      </c>
      <c r="O15" s="70"/>
      <c r="P15" s="70" t="s">
        <v>80</v>
      </c>
      <c r="Q15" s="70" t="s">
        <v>10</v>
      </c>
      <c r="R15" s="70"/>
      <c r="S15" s="70"/>
      <c r="T15" s="70"/>
      <c r="U15" s="61" t="s">
        <v>81</v>
      </c>
      <c r="V15" s="70" t="s">
        <v>14</v>
      </c>
      <c r="W15" s="70"/>
      <c r="X15" s="70"/>
      <c r="Y15" s="70"/>
    </row>
    <row r="16" spans="2:25" ht="15" customHeight="1" x14ac:dyDescent="0.25">
      <c r="B16" s="68"/>
      <c r="C16" s="101"/>
      <c r="D16" s="101"/>
      <c r="E16" s="38"/>
      <c r="F16" s="100"/>
      <c r="G16" s="74"/>
      <c r="H16" s="38"/>
      <c r="I16" s="39"/>
      <c r="J16" s="39"/>
      <c r="K16" s="114"/>
      <c r="L16" s="115"/>
      <c r="M16" s="62"/>
      <c r="N16" s="70"/>
      <c r="O16" s="70"/>
      <c r="P16" s="70"/>
      <c r="Q16" s="70"/>
      <c r="R16" s="70"/>
      <c r="S16" s="70"/>
      <c r="T16" s="70"/>
      <c r="U16" s="62"/>
      <c r="V16" s="70"/>
      <c r="W16" s="70"/>
      <c r="X16" s="70"/>
      <c r="Y16" s="70"/>
    </row>
    <row r="17" spans="2:25" x14ac:dyDescent="0.25">
      <c r="B17" s="69"/>
      <c r="C17" s="101"/>
      <c r="D17" s="101"/>
      <c r="E17" s="65"/>
      <c r="F17" s="80"/>
      <c r="G17" s="66"/>
      <c r="H17" s="38"/>
      <c r="I17" s="39"/>
      <c r="J17" s="39"/>
      <c r="K17" s="116"/>
      <c r="L17" s="117"/>
      <c r="M17" s="63"/>
      <c r="N17" s="70"/>
      <c r="O17" s="70"/>
      <c r="P17" s="70"/>
      <c r="Q17" s="111" t="s">
        <v>82</v>
      </c>
      <c r="R17" s="111"/>
      <c r="S17" s="111" t="s">
        <v>83</v>
      </c>
      <c r="T17" s="111"/>
      <c r="U17" s="63"/>
      <c r="V17" s="111" t="s">
        <v>82</v>
      </c>
      <c r="W17" s="111"/>
      <c r="X17" s="126" t="s">
        <v>83</v>
      </c>
      <c r="Y17" s="127"/>
    </row>
    <row r="18" spans="2:25" x14ac:dyDescent="0.25">
      <c r="B18" s="15" t="s">
        <v>43</v>
      </c>
      <c r="C18" s="73" t="s">
        <v>22</v>
      </c>
      <c r="D18" s="73"/>
      <c r="E18" s="104" t="s">
        <v>111</v>
      </c>
      <c r="F18" s="105"/>
      <c r="G18" s="106"/>
      <c r="H18" s="40"/>
      <c r="I18" s="40"/>
      <c r="J18" s="40"/>
      <c r="K18" s="107" t="s">
        <v>27</v>
      </c>
      <c r="L18" s="108"/>
      <c r="M18" s="109" t="s">
        <v>28</v>
      </c>
      <c r="N18" s="107" t="s">
        <v>23</v>
      </c>
      <c r="O18" s="108"/>
      <c r="P18" s="110" t="s">
        <v>115</v>
      </c>
      <c r="Q18" s="40" t="s">
        <v>31</v>
      </c>
      <c r="R18" s="40"/>
      <c r="S18" s="119" t="s">
        <v>36</v>
      </c>
      <c r="T18" s="119"/>
      <c r="U18" s="4" t="s">
        <v>26</v>
      </c>
      <c r="V18" s="123" t="s">
        <v>53</v>
      </c>
      <c r="W18" s="124"/>
      <c r="X18" s="107"/>
      <c r="Y18" s="108"/>
    </row>
    <row r="19" spans="2:25" x14ac:dyDescent="0.25">
      <c r="B19" s="15"/>
      <c r="C19" s="35"/>
      <c r="D19" s="35"/>
      <c r="E19" s="104"/>
      <c r="F19" s="105"/>
      <c r="G19" s="106"/>
      <c r="H19" s="40"/>
      <c r="I19" s="40"/>
      <c r="J19" s="40"/>
      <c r="K19" s="102"/>
      <c r="L19" s="103"/>
      <c r="M19" s="118"/>
      <c r="N19" s="107"/>
      <c r="O19" s="108"/>
      <c r="P19" s="110"/>
      <c r="Q19" s="102"/>
      <c r="R19" s="103"/>
      <c r="S19" s="119"/>
      <c r="T19" s="119"/>
      <c r="U19" s="16"/>
      <c r="V19" s="121"/>
      <c r="W19" s="122"/>
      <c r="X19" s="107"/>
      <c r="Y19" s="108"/>
    </row>
    <row r="20" spans="2:25" x14ac:dyDescent="0.25">
      <c r="B20" s="15"/>
      <c r="C20" s="35"/>
      <c r="D20" s="35"/>
      <c r="E20" s="104"/>
      <c r="F20" s="105"/>
      <c r="G20" s="106"/>
      <c r="H20" s="40"/>
      <c r="I20" s="40"/>
      <c r="J20" s="40"/>
      <c r="K20" s="102"/>
      <c r="L20" s="103"/>
      <c r="M20" s="118"/>
      <c r="N20" s="107"/>
      <c r="O20" s="108"/>
      <c r="P20" s="110"/>
      <c r="Q20" s="102"/>
      <c r="R20" s="103"/>
      <c r="S20" s="119"/>
      <c r="T20" s="119"/>
      <c r="U20" s="16"/>
      <c r="V20" s="121"/>
      <c r="W20" s="122"/>
      <c r="X20" s="107"/>
      <c r="Y20" s="108"/>
    </row>
    <row r="21" spans="2:25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25" x14ac:dyDescent="0.25">
      <c r="B22" s="130" t="s">
        <v>84</v>
      </c>
      <c r="C22" s="131"/>
      <c r="D22" s="131"/>
      <c r="E22" s="131"/>
      <c r="F22" s="131"/>
      <c r="G22" s="131"/>
      <c r="H22" s="131"/>
      <c r="I22" s="131"/>
      <c r="J22" s="131"/>
      <c r="K22" s="131"/>
      <c r="L22" s="131"/>
      <c r="M22" s="131"/>
      <c r="N22" s="131"/>
      <c r="O22" s="131"/>
    </row>
    <row r="23" spans="2:25" ht="15" customHeight="1" x14ac:dyDescent="0.25">
      <c r="B23" s="67" t="s">
        <v>76</v>
      </c>
      <c r="C23" s="36" t="s">
        <v>77</v>
      </c>
      <c r="D23" s="64"/>
      <c r="E23" s="77" t="s">
        <v>85</v>
      </c>
      <c r="F23" s="61" t="s">
        <v>86</v>
      </c>
      <c r="G23" s="61" t="s">
        <v>87</v>
      </c>
      <c r="H23" s="36" t="s">
        <v>88</v>
      </c>
      <c r="I23" s="37"/>
      <c r="J23" s="64"/>
      <c r="K23" s="70" t="s">
        <v>89</v>
      </c>
      <c r="L23" s="70"/>
      <c r="M23" s="70"/>
      <c r="N23" s="70"/>
      <c r="O23" s="70" t="s">
        <v>90</v>
      </c>
    </row>
    <row r="24" spans="2:25" ht="15" customHeight="1" x14ac:dyDescent="0.25">
      <c r="B24" s="68"/>
      <c r="C24" s="38"/>
      <c r="D24" s="74"/>
      <c r="E24" s="78"/>
      <c r="F24" s="62"/>
      <c r="G24" s="62"/>
      <c r="H24" s="38"/>
      <c r="I24" s="39"/>
      <c r="J24" s="74"/>
      <c r="K24" s="70"/>
      <c r="L24" s="70"/>
      <c r="M24" s="70"/>
      <c r="N24" s="70"/>
      <c r="O24" s="70"/>
    </row>
    <row r="25" spans="2:25" x14ac:dyDescent="0.25">
      <c r="B25" s="69"/>
      <c r="C25" s="65"/>
      <c r="D25" s="66"/>
      <c r="E25" s="79"/>
      <c r="F25" s="63"/>
      <c r="G25" s="63"/>
      <c r="H25" s="65"/>
      <c r="I25" s="80"/>
      <c r="J25" s="66"/>
      <c r="K25" s="70"/>
      <c r="L25" s="70"/>
      <c r="M25" s="70"/>
      <c r="N25" s="70"/>
      <c r="O25" s="70"/>
    </row>
    <row r="26" spans="2:25" x14ac:dyDescent="0.25">
      <c r="B26" s="15" t="s">
        <v>43</v>
      </c>
      <c r="C26" s="107" t="s">
        <v>22</v>
      </c>
      <c r="D26" s="108"/>
      <c r="E26" s="17"/>
      <c r="F26" s="17"/>
      <c r="G26" s="17"/>
      <c r="H26" s="75"/>
      <c r="I26" s="75"/>
      <c r="J26" s="75"/>
      <c r="K26" s="132" t="s">
        <v>116</v>
      </c>
      <c r="L26" s="132"/>
      <c r="M26" s="125"/>
      <c r="N26" s="125"/>
      <c r="O26" s="17" t="s">
        <v>25</v>
      </c>
    </row>
    <row r="27" spans="2:25" x14ac:dyDescent="0.25">
      <c r="B27" s="17"/>
      <c r="C27" s="128"/>
      <c r="D27" s="129"/>
      <c r="E27" s="17"/>
      <c r="F27" s="17"/>
      <c r="G27" s="17"/>
      <c r="H27" s="81"/>
      <c r="I27" s="81"/>
      <c r="J27" s="81"/>
      <c r="K27" s="76"/>
      <c r="L27" s="76"/>
      <c r="M27" s="76"/>
      <c r="N27" s="76"/>
      <c r="O27" s="17"/>
    </row>
    <row r="28" spans="2:25" x14ac:dyDescent="0.25">
      <c r="B28" s="17"/>
      <c r="C28" s="128"/>
      <c r="D28" s="129"/>
      <c r="E28" s="17"/>
      <c r="F28" s="17"/>
      <c r="G28" s="17"/>
      <c r="H28" s="81"/>
      <c r="I28" s="81"/>
      <c r="J28" s="81"/>
      <c r="K28" s="76"/>
      <c r="L28" s="76"/>
      <c r="M28" s="76"/>
      <c r="N28" s="76"/>
      <c r="O28" s="17"/>
      <c r="P28" s="10"/>
      <c r="Q28" s="10"/>
    </row>
    <row r="29" spans="2:25" x14ac:dyDescent="0.25">
      <c r="B29" s="10"/>
      <c r="C29" s="10"/>
      <c r="D29" s="10"/>
      <c r="E29" s="18"/>
      <c r="F29" s="10"/>
      <c r="G29" s="10"/>
      <c r="H29" s="10"/>
      <c r="J29" s="18"/>
      <c r="K29" s="10"/>
      <c r="L29" s="10"/>
      <c r="M29" s="10"/>
      <c r="N29" s="10"/>
      <c r="O29" s="10"/>
      <c r="P29" s="10"/>
      <c r="Q29" s="10"/>
    </row>
    <row r="30" spans="2:25" x14ac:dyDescent="0.25">
      <c r="B30" s="85" t="s">
        <v>91</v>
      </c>
      <c r="C30" s="85"/>
      <c r="D30" s="85"/>
      <c r="E30" s="85"/>
      <c r="F30" s="85"/>
      <c r="G30" s="19"/>
      <c r="H30" s="32" t="s">
        <v>92</v>
      </c>
      <c r="I30" s="33"/>
      <c r="J30" s="86" t="s">
        <v>93</v>
      </c>
      <c r="K30" s="86"/>
      <c r="L30" s="86"/>
      <c r="M30" s="86"/>
      <c r="N30" s="86"/>
      <c r="O30" s="86"/>
      <c r="P30" s="10"/>
      <c r="Q30" s="10"/>
    </row>
    <row r="31" spans="2:25" x14ac:dyDescent="0.25">
      <c r="B31" s="20" t="s">
        <v>94</v>
      </c>
      <c r="C31" s="21"/>
      <c r="D31" s="21"/>
      <c r="E31" s="87"/>
      <c r="F31" s="87"/>
      <c r="G31" s="10"/>
      <c r="H31" s="88" t="s">
        <v>95</v>
      </c>
      <c r="I31" s="89"/>
      <c r="J31" s="76"/>
      <c r="K31" s="76"/>
      <c r="L31" s="76"/>
      <c r="M31" s="76"/>
      <c r="N31" s="76"/>
      <c r="O31" s="76"/>
      <c r="P31" s="10"/>
      <c r="Q31" s="10"/>
    </row>
    <row r="32" spans="2:25" x14ac:dyDescent="0.25">
      <c r="B32" s="20" t="s">
        <v>96</v>
      </c>
      <c r="C32" s="21"/>
      <c r="D32" s="21"/>
      <c r="E32" s="76"/>
      <c r="F32" s="76"/>
      <c r="G32" s="10"/>
      <c r="H32" s="90" t="s">
        <v>97</v>
      </c>
      <c r="I32" s="91"/>
      <c r="J32" s="76"/>
      <c r="K32" s="76"/>
      <c r="L32" s="76"/>
      <c r="M32" s="76"/>
      <c r="N32" s="76"/>
      <c r="O32" s="76"/>
      <c r="P32" s="10"/>
      <c r="Q32" s="10"/>
    </row>
    <row r="33" spans="2:17" x14ac:dyDescent="0.25">
      <c r="B33" s="20" t="s">
        <v>98</v>
      </c>
      <c r="C33" s="21"/>
      <c r="D33" s="21"/>
      <c r="E33" s="17"/>
      <c r="F33" s="22" t="s">
        <v>99</v>
      </c>
      <c r="G33" s="10"/>
      <c r="H33" s="90" t="s">
        <v>100</v>
      </c>
      <c r="I33" s="91"/>
      <c r="J33" s="76"/>
      <c r="K33" s="76"/>
      <c r="L33" s="76"/>
      <c r="M33" s="76"/>
      <c r="N33" s="76"/>
      <c r="O33" s="76"/>
      <c r="P33" s="10"/>
      <c r="Q33" s="10"/>
    </row>
    <row r="34" spans="2:17" x14ac:dyDescent="0.25">
      <c r="B34" s="23" t="s">
        <v>101</v>
      </c>
      <c r="C34" s="24"/>
      <c r="D34" s="24"/>
      <c r="E34" s="17"/>
      <c r="F34" s="22" t="s">
        <v>99</v>
      </c>
      <c r="G34" s="10"/>
      <c r="H34" s="92" t="s">
        <v>102</v>
      </c>
      <c r="I34" s="93"/>
      <c r="J34" s="82"/>
      <c r="K34" s="82"/>
      <c r="L34" s="82"/>
      <c r="M34" s="82"/>
      <c r="N34" s="82"/>
      <c r="O34" s="82"/>
      <c r="P34" s="10"/>
      <c r="Q34" s="10"/>
    </row>
    <row r="35" spans="2:17" x14ac:dyDescent="0.25">
      <c r="B35" s="25"/>
      <c r="C35" s="25"/>
      <c r="D35" s="25"/>
      <c r="E35" s="25"/>
      <c r="F35" s="18"/>
      <c r="G35" s="10"/>
      <c r="H35" s="26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83" t="s">
        <v>103</v>
      </c>
      <c r="C37" s="83"/>
      <c r="D37" s="83"/>
      <c r="E37" s="83"/>
      <c r="F37" s="83"/>
      <c r="G37" s="83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84" t="s">
        <v>104</v>
      </c>
      <c r="C38" s="84"/>
      <c r="D38" s="84"/>
      <c r="E38" s="84"/>
      <c r="F38" s="84"/>
      <c r="G38" s="84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2:17" x14ac:dyDescent="0.25">
      <c r="B39" s="84"/>
      <c r="C39" s="84"/>
      <c r="D39" s="84"/>
      <c r="E39" s="84"/>
      <c r="F39" s="84"/>
      <c r="G39" s="84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2:17" x14ac:dyDescent="0.25">
      <c r="B40" s="84"/>
      <c r="C40" s="84"/>
      <c r="D40" s="84"/>
      <c r="E40" s="84"/>
      <c r="F40" s="84"/>
      <c r="G40" s="84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2:17" x14ac:dyDescent="0.25">
      <c r="B41" s="84"/>
      <c r="C41" s="84"/>
      <c r="D41" s="84"/>
      <c r="E41" s="84"/>
      <c r="F41" s="84"/>
      <c r="G41" s="84"/>
      <c r="H41" s="27"/>
      <c r="I41" s="10"/>
      <c r="J41" s="10"/>
      <c r="K41" s="10"/>
      <c r="L41" s="10"/>
      <c r="M41" s="10"/>
      <c r="N41" s="10"/>
      <c r="O41" s="10"/>
      <c r="P41" s="10"/>
      <c r="Q41" s="10"/>
    </row>
    <row r="42" spans="2:17" x14ac:dyDescent="0.25">
      <c r="B42" s="84"/>
      <c r="C42" s="84"/>
      <c r="D42" s="84"/>
      <c r="E42" s="84"/>
      <c r="F42" s="84"/>
      <c r="G42" s="84"/>
      <c r="H42" s="10"/>
      <c r="L42" s="28" t="s">
        <v>105</v>
      </c>
      <c r="M42" s="10"/>
      <c r="N42" s="10" t="s">
        <v>106</v>
      </c>
      <c r="O42" s="10"/>
      <c r="P42" s="10"/>
      <c r="Q42" s="10"/>
    </row>
    <row r="43" spans="2:17" x14ac:dyDescent="0.25">
      <c r="B43" s="10"/>
      <c r="C43" s="18"/>
      <c r="D43" s="18"/>
      <c r="E43" s="10"/>
      <c r="F43" s="10"/>
      <c r="G43" s="10"/>
      <c r="H43" s="10"/>
      <c r="L43" s="10"/>
      <c r="M43" s="10"/>
      <c r="N43" s="10" t="s">
        <v>107</v>
      </c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18"/>
      <c r="J44" s="10"/>
      <c r="K44" s="10"/>
      <c r="L44" s="10"/>
      <c r="M44" s="10"/>
      <c r="N44" s="10"/>
      <c r="O44" s="10"/>
      <c r="P44" s="10"/>
      <c r="Q44" s="10"/>
    </row>
  </sheetData>
  <mergeCells count="101">
    <mergeCell ref="C27:D27"/>
    <mergeCell ref="C28:D28"/>
    <mergeCell ref="B22:O22"/>
    <mergeCell ref="K23:N25"/>
    <mergeCell ref="K28:N28"/>
    <mergeCell ref="K27:N27"/>
    <mergeCell ref="V15:Y16"/>
    <mergeCell ref="V17:W17"/>
    <mergeCell ref="V18:W18"/>
    <mergeCell ref="V19:W19"/>
    <mergeCell ref="V20:W20"/>
    <mergeCell ref="X17:Y17"/>
    <mergeCell ref="X18:Y18"/>
    <mergeCell ref="X19:Y19"/>
    <mergeCell ref="X20:Y20"/>
    <mergeCell ref="S18:T18"/>
    <mergeCell ref="S19:T19"/>
    <mergeCell ref="S20:T20"/>
    <mergeCell ref="U15:U17"/>
    <mergeCell ref="E18:G18"/>
    <mergeCell ref="K11:N11"/>
    <mergeCell ref="Q8:S8"/>
    <mergeCell ref="Q9:S9"/>
    <mergeCell ref="Q10:S10"/>
    <mergeCell ref="Q11:S11"/>
    <mergeCell ref="K8:N8"/>
    <mergeCell ref="K9:N9"/>
    <mergeCell ref="K10:N10"/>
    <mergeCell ref="J34:O34"/>
    <mergeCell ref="B37:G37"/>
    <mergeCell ref="B38:G42"/>
    <mergeCell ref="B30:F30"/>
    <mergeCell ref="J30:O30"/>
    <mergeCell ref="E31:F31"/>
    <mergeCell ref="J31:O31"/>
    <mergeCell ref="E32:F32"/>
    <mergeCell ref="J32:O32"/>
    <mergeCell ref="H31:I31"/>
    <mergeCell ref="H32:I32"/>
    <mergeCell ref="H33:I33"/>
    <mergeCell ref="H34:I34"/>
    <mergeCell ref="H27:J27"/>
    <mergeCell ref="H28:J28"/>
    <mergeCell ref="J33:O33"/>
    <mergeCell ref="H26:J26"/>
    <mergeCell ref="B23:B25"/>
    <mergeCell ref="E23:E25"/>
    <mergeCell ref="F23:F25"/>
    <mergeCell ref="G23:G25"/>
    <mergeCell ref="H23:J25"/>
    <mergeCell ref="C26:D26"/>
    <mergeCell ref="C23:D25"/>
    <mergeCell ref="O23:O25"/>
    <mergeCell ref="C15:D17"/>
    <mergeCell ref="C18:D18"/>
    <mergeCell ref="C19:D19"/>
    <mergeCell ref="C20:D20"/>
    <mergeCell ref="E15:G17"/>
    <mergeCell ref="E19:G19"/>
    <mergeCell ref="E20:G20"/>
    <mergeCell ref="B14:R14"/>
    <mergeCell ref="N15:O17"/>
    <mergeCell ref="P15:P17"/>
    <mergeCell ref="B15:B17"/>
    <mergeCell ref="Q17:R17"/>
    <mergeCell ref="K15:L17"/>
    <mergeCell ref="K18:L18"/>
    <mergeCell ref="K19:L19"/>
    <mergeCell ref="K20:L20"/>
    <mergeCell ref="M15:M17"/>
    <mergeCell ref="N19:O19"/>
    <mergeCell ref="B9:C9"/>
    <mergeCell ref="B10:C10"/>
    <mergeCell ref="B11:C11"/>
    <mergeCell ref="B12:C12"/>
    <mergeCell ref="I8:J8"/>
    <mergeCell ref="I9:J9"/>
    <mergeCell ref="I11:J11"/>
    <mergeCell ref="I10:J10"/>
    <mergeCell ref="D8:H8"/>
    <mergeCell ref="D9:H9"/>
    <mergeCell ref="D10:H10"/>
    <mergeCell ref="D11:H11"/>
    <mergeCell ref="D12:H12"/>
    <mergeCell ref="C3:G3"/>
    <mergeCell ref="K3:N3"/>
    <mergeCell ref="C4:G4"/>
    <mergeCell ref="K4:N4"/>
    <mergeCell ref="B8:C8"/>
    <mergeCell ref="B7:S7"/>
    <mergeCell ref="H15:J17"/>
    <mergeCell ref="H18:J18"/>
    <mergeCell ref="H19:J19"/>
    <mergeCell ref="H20:J20"/>
    <mergeCell ref="N20:O20"/>
    <mergeCell ref="Q18:R18"/>
    <mergeCell ref="Q19:R19"/>
    <mergeCell ref="Q20:R20"/>
    <mergeCell ref="N18:O18"/>
    <mergeCell ref="Q15:T16"/>
    <mergeCell ref="S17:T17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A9" sqref="A9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3" x14ac:dyDescent="0.25">
      <c r="A1" s="1" t="s">
        <v>45</v>
      </c>
      <c r="B1" s="1" t="s">
        <v>46</v>
      </c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108</v>
      </c>
      <c r="B11" t="s">
        <v>64</v>
      </c>
    </row>
    <row r="12" spans="1:3" x14ac:dyDescent="0.25">
      <c r="A12" t="s">
        <v>109</v>
      </c>
      <c r="B12" t="s">
        <v>63</v>
      </c>
    </row>
    <row r="13" spans="1:3" x14ac:dyDescent="0.25">
      <c r="A13" t="s">
        <v>110</v>
      </c>
      <c r="B13" t="s">
        <v>65</v>
      </c>
    </row>
    <row r="14" spans="1:3" x14ac:dyDescent="0.25">
      <c r="A14" t="s">
        <v>112</v>
      </c>
      <c r="B14" t="s">
        <v>70</v>
      </c>
      <c r="C14" s="34"/>
    </row>
    <row r="16" spans="1:3" x14ac:dyDescent="0.25">
      <c r="A16" s="1" t="s">
        <v>47</v>
      </c>
    </row>
    <row r="17" spans="1:21" x14ac:dyDescent="0.25">
      <c r="A17" s="7" t="s">
        <v>48</v>
      </c>
      <c r="B17" s="8" t="s">
        <v>49</v>
      </c>
      <c r="C17" s="2" t="s">
        <v>29</v>
      </c>
      <c r="D17" s="2" t="s">
        <v>30</v>
      </c>
      <c r="E17" s="2" t="s">
        <v>32</v>
      </c>
      <c r="F17" s="2" t="s">
        <v>34</v>
      </c>
      <c r="G17" s="2" t="s">
        <v>35</v>
      </c>
      <c r="H17" s="2" t="s">
        <v>38</v>
      </c>
      <c r="I17" s="2" t="s">
        <v>40</v>
      </c>
      <c r="J17" s="2" t="s">
        <v>42</v>
      </c>
      <c r="K17" s="2" t="s">
        <v>44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50</v>
      </c>
      <c r="Q17" s="2" t="s">
        <v>51</v>
      </c>
      <c r="R17" s="2" t="s">
        <v>52</v>
      </c>
      <c r="S17" s="2" t="s">
        <v>54</v>
      </c>
      <c r="T17" s="2" t="s">
        <v>56</v>
      </c>
      <c r="U17" s="2" t="s">
        <v>58</v>
      </c>
    </row>
    <row r="18" spans="1:21" x14ac:dyDescent="0.25">
      <c r="A18" s="3" t="s">
        <v>22</v>
      </c>
      <c r="B18" s="4" t="s">
        <v>111</v>
      </c>
      <c r="C18" t="s">
        <v>27</v>
      </c>
      <c r="D18" t="s">
        <v>28</v>
      </c>
      <c r="E18" s="9" t="s">
        <v>31</v>
      </c>
      <c r="F18" t="s">
        <v>33</v>
      </c>
      <c r="G18" s="9" t="s">
        <v>36</v>
      </c>
      <c r="H18" s="9" t="s">
        <v>37</v>
      </c>
      <c r="I18" s="9" t="s">
        <v>39</v>
      </c>
      <c r="J18" t="s">
        <v>41</v>
      </c>
      <c r="K18" t="s">
        <v>43</v>
      </c>
      <c r="L18" t="s">
        <v>23</v>
      </c>
      <c r="M18" t="s">
        <v>24</v>
      </c>
      <c r="N18" t="s">
        <v>25</v>
      </c>
      <c r="O18" t="s">
        <v>26</v>
      </c>
      <c r="P18" t="s">
        <v>62</v>
      </c>
      <c r="Q18" t="e">
        <f>IF(D18&gt;0,IF(D18="Unit",CONCATENATE(Settings!P18," ",Settings!D18,"s"),CONCATENATE((Settings!P18/Settings!L18)," ",Settings!D18,"s")),"")</f>
        <v>#VALUE!</v>
      </c>
      <c r="R18" t="s">
        <v>53</v>
      </c>
      <c r="S18" t="s">
        <v>55</v>
      </c>
      <c r="T18" t="s">
        <v>61</v>
      </c>
      <c r="U18" t="s">
        <v>57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C31" s="109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C32" s="109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2023-10-03T13:06:56Z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