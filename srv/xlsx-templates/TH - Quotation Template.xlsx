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/>
  <mc:AlternateContent xmlns:mc="http://schemas.openxmlformats.org/markup-compatibility/2006">
    <mc:Choice Requires="x15">
      <x15ac:absPath xmlns:x15ac="http://schemas.microsoft.com/office/spreadsheetml/2010/11/ac" url="https://d.docs.live.net/aeed6c68800b108e/Bureaublad/"/>
    </mc:Choice>
  </mc:AlternateContent>
  <xr:revisionPtr revIDLastSave="130" documentId="13_ncr:1_{5AD4E6D3-988B-499C-93AC-2F92E5DBE15D}" xr6:coauthVersionLast="47" xr6:coauthVersionMax="47" xr10:uidLastSave="{3669B00E-362F-4B5C-8667-4AA71D1E8CF3}"/>
  <bookViews>
    <workbookView xWindow="-120" yWindow="-120" windowWidth="29040" windowHeight="15840" xr2:uid="{F5CC2154-27BB-4652-B61E-D913F0CC6809}"/>
  </bookViews>
  <sheets>
    <sheet name="Quotation" sheetId="1" r:id="rId1"/>
    <sheet name="Settings" sheetId="2" r:id="rId2"/>
  </sheets>
  <definedNames>
    <definedName name="_xlnm.Print_Area" localSheetId="0">Quotation!$B$2:$R$21</definedName>
    <definedName name="_xlnm.Print_Titles" localSheetId="0">Quotation!$2:$13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1" l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14" i="1"/>
  <c r="J14" i="1"/>
  <c r="I14" i="1"/>
  <c r="G14" i="1"/>
</calcChain>
</file>

<file path=xl/sharedStrings.xml><?xml version="1.0" encoding="utf-8"?>
<sst xmlns="http://schemas.openxmlformats.org/spreadsheetml/2006/main" count="66" uniqueCount="66">
  <si>
    <t>${offerValidation.INSTITUTENAME}</t>
  </si>
  <si>
    <t>Offer Party</t>
  </si>
  <si>
    <t>Procurement Method</t>
  </si>
  <si>
    <t>!!! Missing from OfferValidation !!!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</si>
  <si>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</si>
  <si>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</si>
  <si>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</si>
  <si>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</si>
  <si>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</si>
  <si>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</si>
  <si>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</si>
  <si>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SKU Code</t>
  </si>
  <si>
    <t>Article Name</t>
  </si>
  <si>
    <t>Qty</t>
  </si>
  <si>
    <t>Pack Factor</t>
  </si>
  <si>
    <t>MSP</t>
  </si>
  <si>
    <t>MSP with VAT</t>
  </si>
  <si>
    <t>Total</t>
  </si>
  <si>
    <t>Total with VAT</t>
  </si>
  <si>
    <t>Samples</t>
  </si>
  <si>
    <t>Origin</t>
  </si>
  <si>
    <t>Contract ID</t>
  </si>
  <si>
    <t>FOC</t>
  </si>
  <si>
    <t>Total Qty</t>
  </si>
  <si>
    <t>NSP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</si>
  <si>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</si>
  <si>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</si>
  <si>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</si>
  <si>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</si>
  <si>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</si>
  <si>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</si>
  <si>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</si>
  <si>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</si>
  <si>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</si>
  <si>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</si>
  <si>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</si>
  <si>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</si>
  <si>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</si>
  <si>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${table:offerProductValidation.UNIT === 'Unit' ? offerProductValidation.TOTAL_QUANTITY_UNITS + ' ' + offerProductValidation.UNIT + 's' : (offerProductValidation.TOTAL_QUANTITY_UNITS / offerProductValidation.PACKSIZE) + ' ' + offerProductValidation.UNIT + 's'}</t>
  </si>
  <si>
    <t>${table:offerProductValidation.NET_PRICE + ' ' + offerProductValidation.CURRENCY}</t>
  </si>
  <si>
    <t>Total Amount</t>
  </si>
  <si>
    <t>VAT Amount</t>
  </si>
  <si>
    <t>Total Amount with VAT</t>
  </si>
  <si>
    <t>${offerValidation.AMOUNT_IN_NUMBERS + ' ' + offerValidation.CURRENCY}</t>
  </si>
  <si>
    <t>${offerValidation.VAT_TOTAL + ' ' + offerValidation.CURRENCY}</t>
  </si>
  <si>
    <t>${offerValidation.AMOUNT_IN_NUMBERS_VAT + ' ' + offerValidation.CURRENCY}</t>
  </si>
  <si>
    <t>In page: {fastAppData&gt;/EditTender/PROCUREMENT_METHOD_ID} {fastAppData&gt;/EditTender/PROCUREMENT_REASON}</t>
  </si>
  <si>
    <t>Fields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</si>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</sst>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4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theme="0" tint="-0.499984740745262"/>
      </bottom>
      <diagonal/>
    </border>
    <border>
      <left/>
      <right/>
      <top style="medium">
        <color theme="0" tint="-0.499984740745262"/>
      </top>
      <bottom style="medium">
        <color theme="0" tint="-0.499984740745262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right" vertical="top"/>
    </xf>
    <xf numFmtId="0" fontId="0" fillId="0" borderId="0" xfId="0" applyAlignment="1">
      <alignment vertical="top" wrapText="1"/>
    </xf>
    <xf numFmtId="0" fontId="0" fillId="0" borderId="1" xfId="0" applyBorder="1"/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0" borderId="0" xfId="0" applyAlignment="1">
      <alignment horizontal="right"/>
    </xf>
    <xf numFmtId="0" fontId="2" fillId="0" borderId="2" xfId="0" applyFont="1" applyFill="1" applyBorder="1" applyAlignment="1">
      <alignment horizontal="center"/>
    </xf>
    <xf numFmtId="0" fontId="1" fillId="0" borderId="0" xfId="0" applyFont="1" applyAlignment="1">
      <alignment vertical="top" wrapText="1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552450</xdr:colOff>
      <xdr:row>2</xdr:row>
      <xdr:rowOff>133350</xdr:rowOff>
    </xdr:from>
    <xdr:to>
      <xdr:col>16</xdr:col>
      <xdr:colOff>1343025</xdr:colOff>
      <xdr:row>4</xdr:row>
      <xdr:rowOff>352425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185028B1-20BB-4225-B9A8-E12CBCF93F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7545050" y="514350"/>
          <a:ext cx="790575" cy="7905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4731A-D70B-4034-AE07-DF495FD0B95B}">
  <dimension ref="C3:Q66"/>
  <sheetViews>
    <sheetView tabSelected="1" topLeftCell="B4" workbookViewId="0">
      <selection activeCell="I14" sqref="I14"/>
    </sheetView>
  </sheetViews>
  <sheetFormatPr defaultRowHeight="15" x14ac:dyDescent="0.25"/>
  <cols>
    <col min="1" max="2" width="2.7109375" customWidth="1"/>
    <col min="3" max="3" width="19.140625" customWidth="1"/>
    <col min="4" max="4" width="24.28515625" customWidth="1"/>
    <col min="5" max="5" width="21.85546875" customWidth="1"/>
    <col min="6" max="6" width="15.5703125" customWidth="1"/>
    <col min="7" max="10" width="20.7109375" customWidth="1"/>
    <col min="16" max="17" width="20.7109375" customWidth="1"/>
    <col min="18" max="18" width="2.7109375" customWidth="1"/>
  </cols>
  <sheetData>
    <row r="3" spans="3:17" ht="30" x14ac:dyDescent="0.25">
      <c r="C3" s="3" t="s">
        <v>1</v>
      </c>
      <c r="D3" s="4" t="s">
        <v>0</v>
      </c>
    </row>
    <row r="5" spans="3:17" ht="30" x14ac:dyDescent="0.25">
      <c r="C5" s="3" t="s">
        <v>2</v>
      </c>
      <c r="D5" s="10" t="s">
        <v>3</v>
      </c>
      <c r="E5" s="11" t="s">
        <v>46</v>
      </c>
    </row>
    <row r="6" spans="3:17" x14ac:dyDescent="0.25"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3:17" x14ac:dyDescent="0.25">
      <c r="C7" s="1" t="s">
        <v>4</v>
      </c>
      <c r="F7" s="1" t="s">
        <v>5</v>
      </c>
      <c r="I7" s="1" t="s">
        <v>6</v>
      </c>
      <c r="L7" s="1" t="s">
        <v>7</v>
      </c>
    </row>
    <row r="8" spans="3:17" x14ac:dyDescent="0.25">
      <c r="C8" s="15" t="s">
        <v>25</v>
      </c>
      <c r="D8" s="15"/>
      <c r="E8" s="15"/>
      <c r="F8" s="14" t="s">
        <v>26</v>
      </c>
      <c r="G8" s="14"/>
      <c r="H8" s="14"/>
      <c r="I8" s="14" t="s">
        <v>27</v>
      </c>
      <c r="J8" s="14"/>
      <c r="K8" s="14"/>
      <c r="L8" s="14" t="s">
        <v>28</v>
      </c>
      <c r="M8" s="14"/>
      <c r="N8" s="14"/>
    </row>
    <row r="9" spans="3:17" x14ac:dyDescent="0.25">
      <c r="C9" s="6"/>
      <c r="D9" s="6"/>
      <c r="E9" s="6"/>
      <c r="F9" s="7"/>
      <c r="G9" s="7"/>
      <c r="H9" s="7"/>
      <c r="I9" s="7"/>
      <c r="J9" s="7"/>
      <c r="K9" s="7"/>
      <c r="L9" s="7"/>
      <c r="M9" s="7"/>
      <c r="N9" s="7"/>
      <c r="O9" s="5"/>
      <c r="P9" s="5"/>
      <c r="Q9" s="5"/>
    </row>
    <row r="10" spans="3:17" x14ac:dyDescent="0.25">
      <c r="C10" s="1" t="s">
        <v>8</v>
      </c>
      <c r="F10" s="1" t="s">
        <v>9</v>
      </c>
      <c r="I10" s="1" t="s">
        <v>10</v>
      </c>
    </row>
    <row r="11" spans="3:17" x14ac:dyDescent="0.25">
      <c r="C11" s="16" t="s">
        <v>31</v>
      </c>
      <c r="D11" s="16"/>
      <c r="E11" s="16"/>
      <c r="F11" s="16" t="s">
        <v>30</v>
      </c>
      <c r="G11" s="16"/>
      <c r="H11" s="16"/>
      <c r="I11" s="16" t="s">
        <v>29</v>
      </c>
      <c r="J11" s="16"/>
      <c r="K11" s="16"/>
    </row>
    <row r="12" spans="3:17" ht="15.75" thickBot="1" x14ac:dyDescent="0.3"/>
    <row r="13" spans="3:17" ht="15.75" thickBot="1" x14ac:dyDescent="0.3">
      <c r="C13" s="9" t="s">
        <v>11</v>
      </c>
      <c r="D13" s="9" t="s">
        <v>12</v>
      </c>
      <c r="E13" s="9" t="s">
        <v>13</v>
      </c>
      <c r="F13" s="9" t="s">
        <v>14</v>
      </c>
      <c r="G13" s="9" t="s">
        <v>15</v>
      </c>
      <c r="H13" s="9" t="s">
        <v>16</v>
      </c>
      <c r="I13" s="9" t="s">
        <v>17</v>
      </c>
      <c r="J13" s="9" t="s">
        <v>18</v>
      </c>
      <c r="L13" s="9" t="s">
        <v>19</v>
      </c>
      <c r="M13" s="9" t="s">
        <v>20</v>
      </c>
      <c r="N13" s="9" t="s">
        <v>21</v>
      </c>
      <c r="O13" s="9" t="s">
        <v>22</v>
      </c>
      <c r="P13" s="9" t="s">
        <v>23</v>
      </c>
      <c r="Q13" s="9" t="s">
        <v>24</v>
      </c>
    </row>
    <row r="14" spans="3:17" x14ac:dyDescent="0.25">
      <c r="C14" t="s">
        <v>33</v>
      </c>
      <c r="D14" t="s">
        <v>32</v>
      </c>
      <c r="E14" t="str">
        <f>IF(CONCATENATE(Quotation!C66," ",Quotation!D66,"s")=" s"," ",CONCATENATE(Quotation!C66," ",Quotation!D66,"s"))</f>
        <v>${table:offerProductValidation.PAID_VOLUME} ${table:offerProductValidation.UNIT}s</v>
      </c>
      <c r="F14" t="s">
        <v>34</v>
      </c>
      <c r="G14" t="str">
        <f>CONCATENATE(E66," ",F66)</f>
        <v>${table:offerProductValidation.OFFER_PRICE} ${table:offerProductValidation.CURRENCY}</v>
      </c>
      <c r="H14" t="str">
        <f>CONCATENATE(G66," ",F66)</f>
        <v>${table:offerProductValidation.OFFER_PRICE_VAT} ${table:offerProductValidation.CURRENCY}</v>
      </c>
      <c r="I14" t="str">
        <f>CONCATENATE(H66," ",F66)</f>
        <v>${table:offerProductValidation.GROSS_SALES_OFFER_CURRENCY} ${table:offerProductValidation.CURRENCY}</v>
      </c>
      <c r="J14" t="str">
        <f>CONCATENATE(I66," ",F66)</f>
        <v>${table:offerProductValidation.GROSS_SALES_OFFER_CURRENCY_VAT} ${table:offerProductValidation.CURRENCY}</v>
      </c>
      <c r="L14" t="s">
        <v>35</v>
      </c>
      <c r="M14" t="s">
        <v>36</v>
      </c>
      <c r="N14" t="str">
        <f>IF(CONCATENATE(J66,"-",K66) = "-","",CONCATENATE(J66,"-",K66))</f>
        <v>${table:offerProductValidation.OFFER_ID}-${table:offerProductValidation.SORTER}</v>
      </c>
      <c r="O14" t="s">
        <v>37</v>
      </c>
      <c r="P14" t="s">
        <v>38</v>
      </c>
      <c r="Q14" t="s">
        <v>39</v>
      </c>
    </row>
    <row r="15" spans="3:17" x14ac:dyDescent="0.25">
      <c r="E15" t="str">
        <f>IF(CONCATENATE(Quotation!C67," ",Quotation!D67,"s")=" s"," ",CONCATENATE(Quotation!C67," ",Quotation!D67,"s"))</f>
        <v xml:space="preserve"> </v>
      </c>
      <c r="G15" t="str">
        <f t="shared" ref="G15:G34" si="0">CONCATENATE(E67," ",F67)</f>
        <v xml:space="preserve"> </v>
      </c>
      <c r="H15" t="str">
        <f t="shared" ref="H15:H35" si="1">CONCATENATE(G67," ",F67)</f>
        <v xml:space="preserve"> </v>
      </c>
      <c r="I15" t="str">
        <f t="shared" ref="I15:I35" si="2">CONCATENATE(H67," ",F67)</f>
        <v xml:space="preserve"> </v>
      </c>
      <c r="J15" t="str">
        <f t="shared" ref="J15:J34" si="3">CONCATENATE(I67," ",F67)</f>
        <v xml:space="preserve"> </v>
      </c>
      <c r="N15" t="str">
        <f t="shared" ref="N15:N33" si="4">IF(CONCATENATE(J67,"-",K67) = "-","",CONCATENATE(J67,"-",K67))</f>
        <v/>
      </c>
    </row>
    <row r="16" spans="3:17" x14ac:dyDescent="0.25">
      <c r="E16" t="str">
        <f>IF(CONCATENATE(Quotation!C68," ",Quotation!D68,"s")=" s"," ",CONCATENATE(Quotation!C68," ",Quotation!D68,"s"))</f>
        <v xml:space="preserve"> </v>
      </c>
      <c r="G16" t="str">
        <f t="shared" si="0"/>
        <v xml:space="preserve"> </v>
      </c>
      <c r="H16" t="str">
        <f t="shared" si="1"/>
        <v xml:space="preserve"> </v>
      </c>
      <c r="I16" t="str">
        <f t="shared" si="2"/>
        <v xml:space="preserve"> </v>
      </c>
      <c r="J16" t="str">
        <f t="shared" si="3"/>
        <v xml:space="preserve"> </v>
      </c>
      <c r="N16" t="str">
        <f t="shared" si="4"/>
        <v/>
      </c>
      <c r="P16" s="2" t="s">
        <v>40</v>
      </c>
      <c r="Q16" t="s">
        <v>43</v>
      </c>
    </row>
    <row r="17" spans="5:17" x14ac:dyDescent="0.25">
      <c r="E17" t="str">
        <f>IF(CONCATENATE(Quotation!C69," ",Quotation!D69,"s")=" s"," ",CONCATENATE(Quotation!C69," ",Quotation!D69,"s"))</f>
        <v xml:space="preserve"> </v>
      </c>
      <c r="G17" t="str">
        <f t="shared" si="0"/>
        <v xml:space="preserve"> </v>
      </c>
      <c r="H17" t="str">
        <f t="shared" si="1"/>
        <v xml:space="preserve"> </v>
      </c>
      <c r="I17" t="str">
        <f t="shared" si="2"/>
        <v xml:space="preserve"> </v>
      </c>
      <c r="J17" t="str">
        <f t="shared" si="3"/>
        <v xml:space="preserve"> </v>
      </c>
      <c r="N17" t="str">
        <f t="shared" si="4"/>
        <v/>
      </c>
      <c r="P17" s="8"/>
    </row>
    <row r="18" spans="5:17" x14ac:dyDescent="0.25">
      <c r="E18" t="str">
        <f>IF(CONCATENATE(Quotation!C70," ",Quotation!D70,"s")=" s"," ",CONCATENATE(Quotation!C70," ",Quotation!D70,"s"))</f>
        <v xml:space="preserve"> </v>
      </c>
      <c r="G18" t="str">
        <f t="shared" si="0"/>
        <v xml:space="preserve"> </v>
      </c>
      <c r="H18" t="str">
        <f t="shared" si="1"/>
        <v xml:space="preserve"> </v>
      </c>
      <c r="I18" t="str">
        <f t="shared" si="2"/>
        <v xml:space="preserve"> </v>
      </c>
      <c r="J18" t="str">
        <f t="shared" si="3"/>
        <v xml:space="preserve"> </v>
      </c>
      <c r="N18" t="str">
        <f t="shared" si="4"/>
        <v/>
      </c>
      <c r="P18" s="2" t="s">
        <v>41</v>
      </c>
      <c r="Q18" t="s">
        <v>44</v>
      </c>
    </row>
    <row r="19" spans="5:17" x14ac:dyDescent="0.25">
      <c r="E19" t="str">
        <f>IF(CONCATENATE(Quotation!C71," ",Quotation!D71,"s")=" s"," ",CONCATENATE(Quotation!C71," ",Quotation!D71,"s"))</f>
        <v xml:space="preserve"> </v>
      </c>
      <c r="G19" t="str">
        <f t="shared" si="0"/>
        <v xml:space="preserve"> </v>
      </c>
      <c r="H19" t="str">
        <f t="shared" si="1"/>
        <v xml:space="preserve"> </v>
      </c>
      <c r="I19" t="str">
        <f t="shared" si="2"/>
        <v xml:space="preserve"> </v>
      </c>
      <c r="J19" t="str">
        <f t="shared" si="3"/>
        <v xml:space="preserve"> </v>
      </c>
      <c r="N19" t="str">
        <f t="shared" si="4"/>
        <v/>
      </c>
      <c r="P19" s="8"/>
    </row>
    <row r="20" spans="5:17" x14ac:dyDescent="0.25">
      <c r="E20" t="str">
        <f>IF(CONCATENATE(Quotation!C72," ",Quotation!D72,"s")=" s"," ",CONCATENATE(Quotation!C72," ",Quotation!D72,"s"))</f>
        <v xml:space="preserve"> </v>
      </c>
      <c r="G20" t="str">
        <f t="shared" si="0"/>
        <v xml:space="preserve"> </v>
      </c>
      <c r="H20" t="str">
        <f t="shared" si="1"/>
        <v xml:space="preserve"> </v>
      </c>
      <c r="I20" t="str">
        <f t="shared" si="2"/>
        <v xml:space="preserve"> </v>
      </c>
      <c r="J20" t="str">
        <f t="shared" si="3"/>
        <v xml:space="preserve"> </v>
      </c>
      <c r="N20" t="str">
        <f t="shared" si="4"/>
        <v/>
      </c>
      <c r="P20" s="2" t="s">
        <v>42</v>
      </c>
      <c r="Q20" t="s">
        <v>45</v>
      </c>
    </row>
    <row r="21" spans="5:17" x14ac:dyDescent="0.25">
      <c r="E21" t="str">
        <f>IF(CONCATENATE(Quotation!C73," ",Quotation!D73,"s")=" s"," ",CONCATENATE(Quotation!C73," ",Quotation!D73,"s"))</f>
        <v xml:space="preserve"> </v>
      </c>
      <c r="G21" t="str">
        <f t="shared" si="0"/>
        <v xml:space="preserve"> </v>
      </c>
      <c r="H21" t="str">
        <f t="shared" si="1"/>
        <v xml:space="preserve"> </v>
      </c>
      <c r="I21" t="str">
        <f t="shared" si="2"/>
        <v xml:space="preserve"> </v>
      </c>
      <c r="J21" t="str">
        <f t="shared" si="3"/>
        <v xml:space="preserve"> </v>
      </c>
      <c r="N21" t="str">
        <f t="shared" si="4"/>
        <v/>
      </c>
    </row>
    <row r="22" spans="5:17" x14ac:dyDescent="0.25">
      <c r="E22" t="str">
        <f>IF(CONCATENATE(Quotation!C74," ",Quotation!D74,"s")=" s"," ",CONCATENATE(Quotation!C74," ",Quotation!D74,"s"))</f>
        <v xml:space="preserve"> </v>
      </c>
      <c r="G22" t="str">
        <f t="shared" si="0"/>
        <v xml:space="preserve"> </v>
      </c>
      <c r="H22" t="str">
        <f t="shared" si="1"/>
        <v xml:space="preserve"> </v>
      </c>
      <c r="I22" t="str">
        <f t="shared" si="2"/>
        <v xml:space="preserve"> </v>
      </c>
      <c r="J22" t="str">
        <f t="shared" si="3"/>
        <v xml:space="preserve"> </v>
      </c>
      <c r="N22" t="str">
        <f t="shared" si="4"/>
        <v/>
      </c>
    </row>
    <row r="23" spans="5:17" x14ac:dyDescent="0.25">
      <c r="E23" t="str">
        <f>IF(CONCATENATE(Quotation!C75," ",Quotation!D75,"s")=" s"," ",CONCATENATE(Quotation!C75," ",Quotation!D75,"s"))</f>
        <v xml:space="preserve"> </v>
      </c>
      <c r="G23" t="str">
        <f t="shared" si="0"/>
        <v xml:space="preserve"> </v>
      </c>
      <c r="H23" t="str">
        <f t="shared" si="1"/>
        <v xml:space="preserve"> </v>
      </c>
      <c r="I23" t="str">
        <f t="shared" si="2"/>
        <v xml:space="preserve"> </v>
      </c>
      <c r="J23" t="str">
        <f t="shared" si="3"/>
        <v xml:space="preserve"> </v>
      </c>
      <c r="N23" t="str">
        <f t="shared" si="4"/>
        <v/>
      </c>
    </row>
    <row r="24" spans="5:17" x14ac:dyDescent="0.25">
      <c r="E24" t="str">
        <f>IF(CONCATENATE(Quotation!C76," ",Quotation!D76,"s")=" s"," ",CONCATENATE(Quotation!C76," ",Quotation!D76,"s"))</f>
        <v xml:space="preserve"> </v>
      </c>
      <c r="G24" t="str">
        <f t="shared" si="0"/>
        <v xml:space="preserve"> </v>
      </c>
      <c r="H24" t="str">
        <f t="shared" si="1"/>
        <v xml:space="preserve"> </v>
      </c>
      <c r="I24" t="str">
        <f t="shared" si="2"/>
        <v xml:space="preserve"> </v>
      </c>
      <c r="J24" t="str">
        <f t="shared" si="3"/>
        <v xml:space="preserve"> </v>
      </c>
      <c r="N24" t="str">
        <f t="shared" si="4"/>
        <v/>
      </c>
    </row>
    <row r="25" spans="5:17" x14ac:dyDescent="0.25">
      <c r="E25" t="str">
        <f>IF(CONCATENATE(Quotation!C77," ",Quotation!D77,"s")=" s"," ",CONCATENATE(Quotation!C77," ",Quotation!D77,"s"))</f>
        <v xml:space="preserve"> </v>
      </c>
      <c r="G25" t="str">
        <f t="shared" si="0"/>
        <v xml:space="preserve"> </v>
      </c>
      <c r="H25" t="str">
        <f t="shared" si="1"/>
        <v xml:space="preserve"> </v>
      </c>
      <c r="I25" t="str">
        <f t="shared" si="2"/>
        <v xml:space="preserve"> </v>
      </c>
      <c r="J25" t="str">
        <f t="shared" si="3"/>
        <v xml:space="preserve"> </v>
      </c>
      <c r="N25" t="str">
        <f t="shared" si="4"/>
        <v/>
      </c>
    </row>
    <row r="26" spans="5:17" x14ac:dyDescent="0.25">
      <c r="E26" t="str">
        <f>IF(CONCATENATE(Quotation!C78," ",Quotation!D78,"s")=" s"," ",CONCATENATE(Quotation!C78," ",Quotation!D78,"s"))</f>
        <v xml:space="preserve"> </v>
      </c>
      <c r="G26" t="str">
        <f t="shared" si="0"/>
        <v xml:space="preserve"> </v>
      </c>
      <c r="H26" t="str">
        <f t="shared" si="1"/>
        <v xml:space="preserve"> </v>
      </c>
      <c r="I26" t="str">
        <f t="shared" si="2"/>
        <v xml:space="preserve"> </v>
      </c>
      <c r="J26" t="str">
        <f t="shared" si="3"/>
        <v xml:space="preserve"> </v>
      </c>
      <c r="N26" t="str">
        <f t="shared" si="4"/>
        <v/>
      </c>
    </row>
    <row r="27" spans="5:17" x14ac:dyDescent="0.25">
      <c r="E27" t="str">
        <f>IF(CONCATENATE(Quotation!C79," ",Quotation!D79,"s")=" s"," ",CONCATENATE(Quotation!C79," ",Quotation!D79,"s"))</f>
        <v xml:space="preserve"> </v>
      </c>
      <c r="G27" t="str">
        <f t="shared" si="0"/>
        <v xml:space="preserve"> </v>
      </c>
      <c r="H27" t="str">
        <f t="shared" si="1"/>
        <v xml:space="preserve"> </v>
      </c>
      <c r="I27" t="str">
        <f t="shared" si="2"/>
        <v xml:space="preserve"> </v>
      </c>
      <c r="J27" t="str">
        <f t="shared" si="3"/>
        <v xml:space="preserve"> </v>
      </c>
      <c r="N27" t="str">
        <f t="shared" si="4"/>
        <v/>
      </c>
    </row>
    <row r="28" spans="5:17" x14ac:dyDescent="0.25">
      <c r="E28" t="str">
        <f>IF(CONCATENATE(Quotation!C80," ",Quotation!D80,"s")=" s"," ",CONCATENATE(Quotation!C80," ",Quotation!D80,"s"))</f>
        <v xml:space="preserve"> </v>
      </c>
      <c r="G28" t="str">
        <f t="shared" si="0"/>
        <v xml:space="preserve"> </v>
      </c>
      <c r="H28" t="str">
        <f t="shared" si="1"/>
        <v xml:space="preserve"> </v>
      </c>
      <c r="I28" t="str">
        <f t="shared" si="2"/>
        <v xml:space="preserve"> </v>
      </c>
      <c r="J28" t="str">
        <f t="shared" si="3"/>
        <v xml:space="preserve"> </v>
      </c>
      <c r="N28" t="str">
        <f t="shared" si="4"/>
        <v/>
      </c>
    </row>
    <row r="29" spans="5:17" x14ac:dyDescent="0.25">
      <c r="E29" t="str">
        <f>IF(CONCATENATE(Quotation!C81," ",Quotation!D81,"s")=" s"," ",CONCATENATE(Quotation!C81," ",Quotation!D81,"s"))</f>
        <v xml:space="preserve"> </v>
      </c>
      <c r="G29" t="str">
        <f t="shared" si="0"/>
        <v xml:space="preserve"> </v>
      </c>
      <c r="H29" t="str">
        <f t="shared" si="1"/>
        <v xml:space="preserve"> </v>
      </c>
      <c r="I29" t="str">
        <f t="shared" si="2"/>
        <v xml:space="preserve"> </v>
      </c>
      <c r="J29" t="str">
        <f t="shared" si="3"/>
        <v xml:space="preserve"> </v>
      </c>
      <c r="N29" t="str">
        <f t="shared" si="4"/>
        <v/>
      </c>
    </row>
    <row r="30" spans="5:17" x14ac:dyDescent="0.25">
      <c r="E30" t="str">
        <f>IF(CONCATENATE(Quotation!C82," ",Quotation!D82,"s")=" s"," ",CONCATENATE(Quotation!C82," ",Quotation!D82,"s"))</f>
        <v xml:space="preserve"> </v>
      </c>
      <c r="G30" t="str">
        <f t="shared" si="0"/>
        <v xml:space="preserve"> </v>
      </c>
      <c r="H30" t="str">
        <f t="shared" si="1"/>
        <v xml:space="preserve"> </v>
      </c>
      <c r="I30" t="str">
        <f t="shared" si="2"/>
        <v xml:space="preserve"> </v>
      </c>
      <c r="J30" t="str">
        <f t="shared" si="3"/>
        <v xml:space="preserve"> </v>
      </c>
      <c r="N30" t="str">
        <f t="shared" si="4"/>
        <v/>
      </c>
    </row>
    <row r="31" spans="5:17" x14ac:dyDescent="0.25">
      <c r="E31" t="str">
        <f>IF(CONCATENATE(Quotation!C83," ",Quotation!D83,"s")=" s"," ",CONCATENATE(Quotation!C83," ",Quotation!D83,"s"))</f>
        <v xml:space="preserve"> </v>
      </c>
      <c r="G31" t="str">
        <f t="shared" si="0"/>
        <v xml:space="preserve"> </v>
      </c>
      <c r="H31" t="str">
        <f t="shared" si="1"/>
        <v xml:space="preserve"> </v>
      </c>
      <c r="I31" t="str">
        <f t="shared" si="2"/>
        <v xml:space="preserve"> </v>
      </c>
      <c r="J31" t="str">
        <f t="shared" si="3"/>
        <v xml:space="preserve"> </v>
      </c>
      <c r="N31" t="str">
        <f t="shared" si="4"/>
        <v/>
      </c>
    </row>
    <row r="32" spans="5:17" x14ac:dyDescent="0.25">
      <c r="E32" t="str">
        <f>IF(CONCATENATE(Quotation!C84," ",Quotation!D84,"s")=" s"," ",CONCATENATE(Quotation!C84," ",Quotation!D84,"s"))</f>
        <v xml:space="preserve"> </v>
      </c>
      <c r="G32" t="str">
        <f t="shared" si="0"/>
        <v xml:space="preserve"> </v>
      </c>
      <c r="H32" t="str">
        <f t="shared" si="1"/>
        <v xml:space="preserve"> </v>
      </c>
      <c r="I32" t="str">
        <f t="shared" si="2"/>
        <v xml:space="preserve"> </v>
      </c>
      <c r="J32" t="str">
        <f t="shared" si="3"/>
        <v xml:space="preserve"> </v>
      </c>
      <c r="N32" t="str">
        <f t="shared" si="4"/>
        <v/>
      </c>
    </row>
    <row r="33" spans="5:14" x14ac:dyDescent="0.25">
      <c r="E33" t="str">
        <f>IF(CONCATENATE(Quotation!C85," ",Quotation!D85,"s")=" s"," ",CONCATENATE(Quotation!C85," ",Quotation!D85,"s"))</f>
        <v xml:space="preserve"> </v>
      </c>
      <c r="G33" t="str">
        <f t="shared" si="0"/>
        <v xml:space="preserve"> </v>
      </c>
      <c r="H33" t="str">
        <f t="shared" si="1"/>
        <v xml:space="preserve"> </v>
      </c>
      <c r="I33" t="str">
        <f t="shared" si="2"/>
        <v xml:space="preserve"> </v>
      </c>
      <c r="J33" t="str">
        <f t="shared" si="3"/>
        <v xml:space="preserve"> </v>
      </c>
      <c r="N33" t="str">
        <f t="shared" si="4"/>
        <v/>
      </c>
    </row>
    <row r="34" spans="5:14" x14ac:dyDescent="0.25">
      <c r="E34" t="str">
        <f>IF(CONCATENATE(Quotation!C86," ",Quotation!D86,"s")=" s"," ",CONCATENATE(Quotation!C86," ",Quotation!D86,"s"))</f>
        <v xml:space="preserve"> </v>
      </c>
      <c r="G34" t="str">
        <f t="shared" si="0"/>
        <v xml:space="preserve"> </v>
      </c>
      <c r="H34" t="str">
        <f t="shared" si="1"/>
        <v xml:space="preserve"> </v>
      </c>
      <c r="I34" t="str">
        <f t="shared" si="2"/>
        <v xml:space="preserve"> </v>
      </c>
      <c r="J34" t="str">
        <f t="shared" si="3"/>
        <v xml:space="preserve"> </v>
      </c>
    </row>
    <row r="35" spans="5:14" x14ac:dyDescent="0.25">
      <c r="E35" t="str">
        <f>IF(CONCATENATE(Quotation!C87," ",Quotation!D87,"s")=" s"," ",CONCATENATE(Quotation!C87," ",Quotation!D87,"s"))</f>
        <v xml:space="preserve"> </v>
      </c>
      <c r="H35" t="str">
        <f t="shared" si="1"/>
        <v xml:space="preserve"> </v>
      </c>
      <c r="I35" t="str">
        <f t="shared" si="2"/>
        <v xml:space="preserve"> </v>
      </c>
    </row>
    <row r="36" spans="5:14" x14ac:dyDescent="0.25">
      <c r="E36" t="str">
        <f>IF(CONCATENATE(Quotation!C88," ",Quotation!D88,"s")=" s"," ",CONCATENATE(Quotation!C88," ",Quotation!D88,"s"))</f>
        <v xml:space="preserve"> </v>
      </c>
    </row>
    <row r="64" spans="3:3" x14ac:dyDescent="0.25">
      <c r="C64" s="12" t="s">
        <v>47</v>
      </c>
    </row>
    <row r="65" spans="3:11" x14ac:dyDescent="0.25">
      <c r="C65" s="13" t="s">
        <v>50</v>
      </c>
      <c r="D65" s="13" t="s">
        <v>51</v>
      </c>
      <c r="E65" s="13" t="s">
        <v>53</v>
      </c>
      <c r="F65" s="13" t="s">
        <v>55</v>
      </c>
      <c r="G65" s="13" t="s">
        <v>56</v>
      </c>
      <c r="H65" s="13" t="s">
        <v>59</v>
      </c>
      <c r="I65" s="13" t="s">
        <v>61</v>
      </c>
      <c r="J65" s="13" t="s">
        <v>63</v>
      </c>
      <c r="K65" s="13" t="s">
        <v>65</v>
      </c>
    </row>
    <row r="66" spans="3:11" x14ac:dyDescent="0.25">
      <c r="C66" t="s">
        <v>48</v>
      </c>
      <c r="D66" t="s">
        <v>49</v>
      </c>
      <c r="E66" t="s">
        <v>52</v>
      </c>
      <c r="F66" t="s">
        <v>54</v>
      </c>
      <c r="G66" t="s">
        <v>57</v>
      </c>
      <c r="H66" t="s">
        <v>58</v>
      </c>
      <c r="I66" t="s">
        <v>60</v>
      </c>
      <c r="J66" t="s">
        <v>62</v>
      </c>
      <c r="K66" t="s">
        <v>64</v>
      </c>
    </row>
  </sheetData>
  <mergeCells count="7">
    <mergeCell ref="L8:N8"/>
    <mergeCell ref="C8:E8"/>
    <mergeCell ref="C11:E11"/>
    <mergeCell ref="F8:H8"/>
    <mergeCell ref="F11:H11"/>
    <mergeCell ref="I8:K8"/>
    <mergeCell ref="I11:K11"/>
  </mergeCells>
  <pageMargins left="0.70866141732283472" right="0.70866141732283472" top="0.74803149606299213" bottom="0.74803149606299213" header="0.31496062992125984" footer="0.31496062992125984"/>
  <pageSetup paperSize="9" scale="51" orientation="landscape" horizontalDpi="4294967294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dimension ref="A1"/>
  <sheetViews>
    <sheetView workbookViewId="0">
      <selection sqref="A1:B3"/>
    </sheetView>
  </sheetViews>
  <sheetFormatPr defaultRowHeight="15" x14ac:dyDescent="0.25"/>
  <cols>
    <col min="1" max="1" width="43.5703125" bestFit="1" customWidth="1"/>
    <col min="2" max="2" width="34.7109375" bestFit="1" customWidth="1"/>
  </cols>
  <sheetData/>
  <pageMargins left="0.7" right="0.7" top="0.75" bottom="0.75" header="0.3" footer="0.3"/>
  <pageSetup paperSize="9" orientation="portrait" horizontalDpi="4294967294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2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2</vt:i4>
      </vt:variant>
      <vt:variant>
        <vt:lpstr>Benoemde bereiken</vt:lpstr>
      </vt:variant>
      <vt:variant>
        <vt:i4>2</vt:i4>
      </vt:variant>
    </vt:vector>
  </HeadingPairs>
  <TitlesOfParts>
    <vt:vector size="4" baseType="lpstr">
      <vt:lpstr>Quotation</vt:lpstr>
      <vt:lpstr>Settings</vt:lpstr>
      <vt:lpstr>Quotation!Afdrukbereik</vt:lpstr>
      <vt:lpstr>Quotation!Afdruktitels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Nils Vanderheyden</cp:lastModifiedBy>
  <cp:lastPrinted>2021-06-03T08:52:36Z</cp:lastPrinted>
  <dcterms:created xsi:type="dcterms:W3CDTF">2021-05-14T05:44:12Z</dcterms:created>
  <dcterms:modified xsi:type="dcterms:W3CDTF">2021-06-04T09:53:27Z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</Properties>
</file>