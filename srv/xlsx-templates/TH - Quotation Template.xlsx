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642F709E-8617-4C04-8BCA-6DCF9ED3FB60}" xr6:coauthVersionLast="47" xr6:coauthVersionMax="47" xr10:uidLastSave="{00000000-0000-0000-0000-000000000000}"/>
  <bookViews>
    <workbookView xWindow="-120" yWindow="-120" windowWidth="20730" windowHeight="11160" activeTab="1" xr2:uid="{F5CC2154-27BB-4652-B61E-D913F0CC6809}"/>
  </bookViews>
  <sheets>
    <sheet name="Quotation_old" sheetId="1" r:id="rId1"/>
    <sheet name="Quotation" sheetId="3" r:id="rId2"/>
    <sheet name="Settings" sheetId="2" r:id="rId3"/>
  </sheets>
  <definedNames>
    <definedName name="_xlnm.Print_Area" localSheetId="0">Quotation_old!$B$2:$R$21</definedName>
    <definedName name="_xlnm.Print_Titles" localSheetId="0">Quotation_old!$2:$13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K11" i="3"/>
  <c r="F11" i="1"/>
  <c r="D11" i="3"/>
  <c r="C11" i="1"/>
  <c r="C3" i="3"/>
  <c r="D3" i="1"/>
  <c r="D14" i="1"/>
  <c r="L8" i="1" l="1"/>
  <c r="Q18" i="2" l="1"/>
  <c r="P14" i="1" s="1"/>
  <c r="Q19" i="2"/>
  <c r="Q20" i="2"/>
  <c r="Q21" i="2"/>
  <c r="Q22" i="2"/>
  <c r="Q23" i="2"/>
  <c r="Q24" i="2"/>
  <c r="P20" i="1" s="1"/>
  <c r="Q25" i="2"/>
  <c r="Q26" i="2"/>
  <c r="P22" i="1" s="1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P15" i="1"/>
  <c r="P16" i="1"/>
  <c r="P19" i="1"/>
  <c r="P23" i="1"/>
  <c r="P24" i="1"/>
  <c r="P27" i="1"/>
  <c r="L15" i="1"/>
  <c r="M15" i="1"/>
  <c r="N15" i="1"/>
  <c r="O15" i="1"/>
  <c r="L16" i="1"/>
  <c r="M16" i="1"/>
  <c r="N16" i="1"/>
  <c r="O16" i="1"/>
  <c r="L17" i="1"/>
  <c r="M17" i="1"/>
  <c r="N17" i="1"/>
  <c r="O17" i="1"/>
  <c r="L18" i="1"/>
  <c r="M18" i="1"/>
  <c r="N18" i="1"/>
  <c r="O18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L27" i="1"/>
  <c r="M27" i="1"/>
  <c r="N27" i="1"/>
  <c r="O27" i="1"/>
  <c r="O14" i="1"/>
  <c r="N14" i="1"/>
  <c r="M14" i="1"/>
  <c r="L14" i="1"/>
  <c r="Q15" i="1"/>
  <c r="Q16" i="1"/>
  <c r="P17" i="1"/>
  <c r="Q17" i="1"/>
  <c r="P18" i="1"/>
  <c r="Q18" i="1"/>
  <c r="Q19" i="1"/>
  <c r="Q20" i="1"/>
  <c r="P21" i="1"/>
  <c r="Q21" i="1"/>
  <c r="Q22" i="1"/>
  <c r="Q23" i="1"/>
  <c r="Q24" i="1"/>
  <c r="P25" i="1"/>
  <c r="Q25" i="1"/>
  <c r="P26" i="1"/>
  <c r="Q26" i="1"/>
  <c r="Q27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E15" i="1"/>
  <c r="H15" i="1"/>
  <c r="I15" i="1"/>
  <c r="J15" i="1"/>
  <c r="E16" i="1"/>
  <c r="H16" i="1"/>
  <c r="I16" i="1"/>
  <c r="J16" i="1"/>
  <c r="E17" i="1"/>
  <c r="H17" i="1"/>
  <c r="I17" i="1"/>
  <c r="J17" i="1"/>
  <c r="E18" i="1"/>
  <c r="H18" i="1"/>
  <c r="I18" i="1"/>
  <c r="J18" i="1"/>
  <c r="E19" i="1"/>
  <c r="H19" i="1"/>
  <c r="I19" i="1"/>
  <c r="J19" i="1"/>
  <c r="E20" i="1"/>
  <c r="H20" i="1"/>
  <c r="I20" i="1"/>
  <c r="J20" i="1"/>
  <c r="E21" i="1"/>
  <c r="H21" i="1"/>
  <c r="I21" i="1"/>
  <c r="J21" i="1"/>
  <c r="E22" i="1"/>
  <c r="H22" i="1"/>
  <c r="I22" i="1"/>
  <c r="J22" i="1"/>
  <c r="E23" i="1"/>
  <c r="H23" i="1"/>
  <c r="I23" i="1"/>
  <c r="J23" i="1"/>
  <c r="E24" i="1"/>
  <c r="H24" i="1"/>
  <c r="I24" i="1"/>
  <c r="J24" i="1"/>
  <c r="E25" i="1"/>
  <c r="H25" i="1"/>
  <c r="I25" i="1"/>
  <c r="J25" i="1"/>
  <c r="E26" i="1"/>
  <c r="H26" i="1"/>
  <c r="I26" i="1"/>
  <c r="J26" i="1"/>
  <c r="E27" i="1"/>
  <c r="H27" i="1"/>
  <c r="I27" i="1"/>
  <c r="J27" i="1"/>
  <c r="E28" i="1"/>
  <c r="H28" i="1"/>
  <c r="I28" i="1"/>
  <c r="J28" i="1"/>
  <c r="E29" i="1"/>
  <c r="H29" i="1"/>
  <c r="I29" i="1"/>
  <c r="J29" i="1"/>
  <c r="E30" i="1"/>
  <c r="H30" i="1"/>
  <c r="I30" i="1"/>
  <c r="J30" i="1"/>
  <c r="Q31" i="1"/>
  <c r="Q29" i="1"/>
  <c r="Q33" i="1"/>
  <c r="Q14" i="1"/>
  <c r="J14" i="1"/>
  <c r="I14" i="1"/>
  <c r="H14" i="1"/>
  <c r="E14" i="1"/>
  <c r="I11" i="1"/>
  <c r="F8" i="1"/>
  <c r="C8" i="1"/>
  <c r="E31" i="1"/>
  <c r="E32" i="1"/>
  <c r="E33" i="1"/>
  <c r="E34" i="1"/>
  <c r="E35" i="1"/>
  <c r="E36" i="1"/>
  <c r="H31" i="1"/>
  <c r="H32" i="1"/>
  <c r="H33" i="1"/>
  <c r="H34" i="1"/>
  <c r="H35" i="1"/>
  <c r="I31" i="1"/>
  <c r="I32" i="1"/>
  <c r="I33" i="1"/>
  <c r="I34" i="1"/>
  <c r="I35" i="1"/>
  <c r="J31" i="1"/>
  <c r="J32" i="1"/>
  <c r="J33" i="1"/>
  <c r="J34" i="1"/>
  <c r="N28" i="1"/>
  <c r="N29" i="1"/>
  <c r="N30" i="1"/>
  <c r="N31" i="1"/>
  <c r="N32" i="1"/>
  <c r="N33" i="1"/>
</calcChain>
</file>

<file path=xl/sharedStrings.xml><?xml version="1.0" encoding="utf-8"?>
<sst xmlns="http://schemas.openxmlformats.org/spreadsheetml/2006/main" count="155" uniqueCount="124">
  <si>
    <t>${offerValidation.INSTITUTENAME}</t>
  </si>
  <si>
    <t>Offer Party</t>
  </si>
  <si>
    <t>Procurement Method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</si>
  <si>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</si>
  <si>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</si>
  <si>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</si>
  <si>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</si>
  <si>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</si>
  <si>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</si>
  <si>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</si>
  <si>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Article Name</t>
  </si>
  <si>
    <t>Qty</t>
  </si>
  <si>
    <t>Pack Factor</t>
  </si>
  <si>
    <t>MSP</t>
  </si>
  <si>
    <t>MSP with VAT</t>
  </si>
  <si>
    <t>Total</t>
  </si>
  <si>
    <t>Total with VAT</t>
  </si>
  <si>
    <t>Samples</t>
  </si>
  <si>
    <t>Origin</t>
  </si>
  <si>
    <t>Contract ID</t>
  </si>
  <si>
    <t>FOC</t>
  </si>
  <si>
    <t>Total Qty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</si>
  <si>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</si>
  <si>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</si>
  <si>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</si>
  <si>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</si>
  <si>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</si>
  <si>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</si>
  <si>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</si>
  <si>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</si>
  <si>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</si>
  <si>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</si>
  <si>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</si>
  <si>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</si>
  <si>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</si>
  <si>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</si>
  <si>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Total Amount</t>
  </si>
  <si>
    <t>VAT Amount</t>
  </si>
  <si>
    <t>Total Amount with VAT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</si>
  <si>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</si>
  <si>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</si>
  <si>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</si>
  <si>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</si>
  <si>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</si>
  <si>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</si>
  <si>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</si>
  <si>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</si>
  <si>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</si>
  <si>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</si>
  <si>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</si>
  <si>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</si>
  <si>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</si>
  <si>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</si>
  <si>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</si>
  <si>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</si>
  <si>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</si>
  <si>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</si>
  <si>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</si>
  <si>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</si>
  <si>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</si>
  <si>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</si>
  <si>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</si>
  <si>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</si>
  <si>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</si>
  <si>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</si>
  <si>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</si>
  <si>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</si>
  <si>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</si>
  <si>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</si>
  <si>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</si>
  <si>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</si>
  <si>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</si>
  <si>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</si>
  <si>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</si>
  <si>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</si>
  <si>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</si>
  <si>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</si>
  <si>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</si>
  <si>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</si>
  <si>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</si>
  <si>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</si>
  <si>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</si>
  <si>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</si>
  <si>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</si>
  <si>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</si>
  <si>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</si>
  <si>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</si>
  <si>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</si>
  <si>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</si>
  <si>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</si>
  <si>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</si>
  <si>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</si>
  <si>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Offer QTY 
/UoM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</si>
  <si>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</si>
  <si>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</si>
  <si>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</si>
  <si>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</si>
  <si>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</si>
  <si>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</si>
  <si>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</si>
  <si>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</si>
  <si>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</si>
  <si>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</si>
  <si>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</si>
  <si>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</si>
  <si>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</si>
  <si>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</si>
  <si>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</si>
  <si>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</si>
  <si>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</si>
  <si>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</si>
  <si>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</si>
  <si>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</si>
  <si>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</si>
  <si>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</si>
  <si>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</si>
  <si>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</si>
  <si>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</si>
  <si>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</si>
  <si>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</si>
  <si>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</si>
  <si>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</si>
  <si>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=Settings!A4</t>
  </si>
  <si>
    <t>=Settings!A5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</si>
</sst>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2" borderId="3" xfId="0" applyFont="1" applyFill="1" applyBorder="1"/>
    <xf numFmtId="0" fontId="5" fillId="2" borderId="4" xfId="0" applyFont="1" applyFill="1" applyBorder="1"/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center" wrapTex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7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43" fontId="7" fillId="0" borderId="7" xfId="1" applyFont="1" applyBorder="1"/>
    <xf numFmtId="43" fontId="7" fillId="0" borderId="7" xfId="1" applyFont="1" applyFill="1" applyBorder="1"/>
    <xf numFmtId="9" fontId="7" fillId="0" borderId="7" xfId="2" applyFont="1" applyBorder="1"/>
    <xf numFmtId="43" fontId="8" fillId="0" borderId="7" xfId="1" applyFont="1" applyFill="1" applyBorder="1"/>
    <xf numFmtId="0" fontId="7" fillId="0" borderId="7" xfId="0" applyFont="1" applyBorder="1"/>
    <xf numFmtId="0" fontId="10" fillId="0" borderId="0" xfId="0" applyFont="1"/>
    <xf numFmtId="0" fontId="9" fillId="0" borderId="0" xfId="0" applyFont="1" applyAlignment="1">
      <alignment vertical="center"/>
    </xf>
    <xf numFmtId="0" fontId="13" fillId="4" borderId="7" xfId="0" applyFont="1" applyFill="1" applyBorder="1" applyAlignment="1">
      <alignment vertical="top"/>
    </xf>
    <xf numFmtId="0" fontId="7" fillId="4" borderId="7" xfId="0" applyFont="1" applyFill="1" applyBorder="1" applyAlignment="1">
      <alignment vertical="top"/>
    </xf>
    <xf numFmtId="0" fontId="13" fillId="0" borderId="7" xfId="0" applyFont="1" applyBorder="1"/>
    <xf numFmtId="0" fontId="13" fillId="4" borderId="7" xfId="0" applyFont="1" applyFill="1" applyBorder="1"/>
    <xf numFmtId="0" fontId="7" fillId="4" borderId="7" xfId="0" applyFont="1" applyFill="1" applyBorder="1"/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0" xfId="0" applyFont="1" applyAlignment="1">
      <alignment vertical="top" wrapText="1"/>
    </xf>
    <xf numFmtId="0" fontId="11" fillId="0" borderId="0" xfId="0" applyFont="1"/>
    <xf numFmtId="0" fontId="11" fillId="4" borderId="8" xfId="0" applyFont="1" applyFill="1" applyBorder="1" applyAlignment="1">
      <alignment horizontal="left" vertical="top"/>
    </xf>
    <xf numFmtId="0" fontId="11" fillId="4" borderId="10" xfId="0" applyFont="1" applyFill="1" applyBorder="1" applyAlignment="1">
      <alignment horizontal="left" vertical="top"/>
    </xf>
    <xf numFmtId="0" fontId="8" fillId="5" borderId="7" xfId="0" applyFont="1" applyFill="1" applyBorder="1" applyAlignment="1">
      <alignment vertical="top"/>
    </xf>
    <xf numFmtId="0" fontId="8" fillId="3" borderId="8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8" fillId="4" borderId="11" xfId="0" applyFont="1" applyFill="1" applyBorder="1" applyAlignment="1">
      <alignment vertical="center"/>
    </xf>
    <xf numFmtId="0" fontId="8" fillId="4" borderId="14" xfId="0" applyFont="1" applyFill="1" applyBorder="1" applyAlignment="1">
      <alignment vertical="center"/>
    </xf>
    <xf numFmtId="0" fontId="8" fillId="4" borderId="17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8" fillId="4" borderId="11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wrapText="1"/>
    </xf>
    <xf numFmtId="0" fontId="7" fillId="0" borderId="9" xfId="0" applyFont="1" applyBorder="1" applyAlignment="1">
      <alignment horizontal="left" wrapText="1"/>
    </xf>
    <xf numFmtId="0" fontId="7" fillId="0" borderId="10" xfId="0" applyFont="1" applyBorder="1" applyAlignment="1">
      <alignment horizontal="left" wrapText="1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/>
    </xf>
    <xf numFmtId="0" fontId="8" fillId="4" borderId="8" xfId="0" applyFont="1" applyFill="1" applyBorder="1" applyAlignment="1">
      <alignment horizontal="left" vertical="top"/>
    </xf>
    <xf numFmtId="0" fontId="8" fillId="4" borderId="10" xfId="0" applyFont="1" applyFill="1" applyBorder="1" applyAlignment="1">
      <alignment horizontal="left" vertical="top"/>
    </xf>
    <xf numFmtId="0" fontId="12" fillId="4" borderId="8" xfId="0" applyFont="1" applyFill="1" applyBorder="1" applyAlignment="1">
      <alignment horizontal="left"/>
    </xf>
    <xf numFmtId="0" fontId="12" fillId="4" borderId="10" xfId="0" applyFont="1" applyFill="1" applyBorder="1" applyAlignment="1">
      <alignment horizontal="left"/>
    </xf>
    <xf numFmtId="0" fontId="7" fillId="0" borderId="7" xfId="0" applyFont="1" applyBorder="1" applyAlignment="1">
      <alignment horizontal="left" vertical="center"/>
    </xf>
    <xf numFmtId="0" fontId="9" fillId="5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/>
    </xf>
    <xf numFmtId="49" fontId="7" fillId="0" borderId="17" xfId="0" applyNumberFormat="1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49" fontId="7" fillId="0" borderId="7" xfId="0" applyNumberFormat="1" applyFont="1" applyBorder="1" applyAlignment="1">
      <alignment horizontal="center"/>
    </xf>
    <xf numFmtId="0" fontId="7" fillId="0" borderId="7" xfId="0" applyFont="1" applyBorder="1" applyAlignment="1">
      <alignment horizontal="center" vertical="top"/>
    </xf>
    <xf numFmtId="0" fontId="8" fillId="3" borderId="7" xfId="0" applyFont="1" applyFill="1" applyBorder="1" applyAlignment="1">
      <alignment horizontal="left" vertical="top"/>
    </xf>
    <xf numFmtId="0" fontId="14" fillId="0" borderId="7" xfId="0" applyFont="1" applyBorder="1" applyAlignment="1">
      <alignment horizontal="left" vertical="top" wrapText="1"/>
    </xf>
    <xf numFmtId="0" fontId="9" fillId="3" borderId="7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8" xfId="0" applyFont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0" fontId="9" fillId="5" borderId="10" xfId="0" applyFont="1" applyFill="1" applyBorder="1" applyAlignment="1">
      <alignment horizontal="center"/>
    </xf>
    <xf numFmtId="0" fontId="0" fillId="0" borderId="7" xfId="0" applyBorder="1" applyAlignment="1">
      <alignment horizontal="left" wrapText="1"/>
    </xf>
    <xf numFmtId="0" fontId="0" fillId="0" borderId="7" xfId="0" applyBorder="1" applyAlignment="1">
      <alignment horizontal="center"/>
    </xf>
    <xf numFmtId="49" fontId="7" fillId="0" borderId="12" xfId="0" applyNumberFormat="1" applyFont="1" applyBorder="1" applyAlignment="1">
      <alignment horizontal="left" vertical="top"/>
    </xf>
    <xf numFmtId="49" fontId="7" fillId="0" borderId="19" xfId="0" applyNumberFormat="1" applyFont="1" applyBorder="1" applyAlignment="1">
      <alignment horizontal="left" vertical="top"/>
    </xf>
    <xf numFmtId="49" fontId="7" fillId="0" borderId="13" xfId="0" applyNumberFormat="1" applyFont="1" applyBorder="1" applyAlignment="1">
      <alignment horizontal="left" vertical="top"/>
    </xf>
    <xf numFmtId="49" fontId="7" fillId="0" borderId="7" xfId="0" applyNumberFormat="1" applyFont="1" applyBorder="1" applyAlignment="1">
      <alignment horizontal="left" vertical="top"/>
    </xf>
    <xf numFmtId="0" fontId="12" fillId="4" borderId="8" xfId="0" applyFont="1" applyFill="1" applyBorder="1" applyAlignment="1">
      <alignment horizontal="left" vertical="top"/>
    </xf>
    <xf numFmtId="0" fontId="12" fillId="4" borderId="10" xfId="0" applyFont="1" applyFill="1" applyBorder="1" applyAlignment="1">
      <alignment horizontal="left" vertical="top"/>
    </xf>
    <xf numFmtId="0" fontId="15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552450</xdr:colOff>
      <xdr:row>2</xdr:row>
      <xdr:rowOff>133350</xdr:rowOff>
    </xdr:from>
    <xdr:to>
      <xdr:col>16</xdr:col>
      <xdr:colOff>1348740</xdr:colOff>
      <xdr:row>7</xdr:row>
      <xdr:rowOff>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85028B1-20BB-4225-B9A8-E12CBCF9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45050" y="514350"/>
          <a:ext cx="790575" cy="79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8</xdr:col>
      <xdr:colOff>24880</xdr:colOff>
      <xdr:row>36</xdr:row>
      <xdr:rowOff>7997</xdr:rowOff>
    </xdr:from>
    <xdr:to>
      <xdr:col>9</xdr:col>
      <xdr:colOff>790842</xdr:colOff>
      <xdr:row>40</xdr:row>
      <xdr:rowOff>19691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1CDDEB-371C-4DF3-A3BA-E535456AD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8355" y="5675372"/>
          <a:ext cx="1519495" cy="77369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3" totalsRowShown="0" headerRowDxfId="6">
  <autoFilter ref="A1:B13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731A-D70B-4034-AE07-DF495FD0B95B}">
  <dimension ref="C3:Q36"/>
  <sheetViews>
    <sheetView view="pageLayout" zoomScale="70" zoomScaleNormal="100" zoomScalePageLayoutView="70" workbookViewId="0">
      <selection activeCell="K9" sqref="K9:N9"/>
    </sheetView>
  </sheetViews>
  <sheetFormatPr defaultRowHeight="15" x14ac:dyDescent="0.25"/>
  <cols>
    <col min="1" max="2" width="2.7109375" customWidth="1"/>
    <col min="3" max="3" width="19.140625" customWidth="1"/>
    <col min="4" max="4" width="24.28515625" customWidth="1"/>
    <col min="5" max="5" width="21.85546875" customWidth="1"/>
    <col min="6" max="6" width="15.5703125" customWidth="1"/>
    <col min="7" max="10" width="20.7109375" customWidth="1"/>
    <col min="16" max="17" width="20.7109375" customWidth="1"/>
    <col min="18" max="18" width="2.7109375" customWidth="1"/>
  </cols>
  <sheetData>
    <row r="3" spans="3:17" ht="30" x14ac:dyDescent="0.25">
      <c r="C3" s="3" t="s">
        <v>1</v>
      </c>
      <c r="D3" s="4" t="str">
        <f>Settings!A9</f>
        <v>${offerValidation.INSTITUTENAME}</v>
      </c>
    </row>
    <row r="5" spans="3:17" x14ac:dyDescent="0.25">
      <c r="C5" s="3" t="s">
        <v>2</v>
      </c>
      <c r="D5" s="4"/>
      <c r="E5" s="10"/>
    </row>
    <row r="6" spans="3:17" x14ac:dyDescent="0.25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3:17" x14ac:dyDescent="0.25">
      <c r="C7" s="1" t="s">
        <v>3</v>
      </c>
      <c r="F7" s="1" t="s">
        <v>4</v>
      </c>
      <c r="I7" s="1" t="s">
        <v>5</v>
      </c>
      <c r="L7" s="1" t="s">
        <v>6</v>
      </c>
    </row>
    <row r="8" spans="3:17" x14ac:dyDescent="0.25">
      <c r="C8" s="53" t="str">
        <f>Settings!A2</f>
        <v>${offerValidation.OFFERID}</v>
      </c>
      <c r="D8" s="53"/>
      <c r="E8" s="53"/>
      <c r="F8" s="52" t="str">
        <f>Settings!A3</f>
        <v>${offerValidation.TENDERID}</v>
      </c>
      <c r="G8" s="52"/>
      <c r="H8" s="52"/>
      <c r="I8" s="52" t="str">
        <f>Settings!A4</f>
        <v>${offerValidation.OFFERDATE}</v>
      </c>
      <c r="J8" s="52"/>
      <c r="K8" s="52"/>
      <c r="L8" s="52" t="str">
        <f>Settings!A5</f>
        <v>${offerValidation.OFFERVALIDITY}</v>
      </c>
      <c r="M8" s="52"/>
      <c r="N8" s="52"/>
    </row>
    <row r="9" spans="3:17" x14ac:dyDescent="0.25">
      <c r="C9" s="6"/>
      <c r="D9" s="6"/>
      <c r="E9" s="6"/>
      <c r="F9" s="7"/>
      <c r="G9" s="7"/>
      <c r="H9" s="7"/>
      <c r="I9" s="7"/>
      <c r="J9" s="7"/>
      <c r="K9" s="7"/>
      <c r="L9" s="7"/>
      <c r="M9" s="7"/>
      <c r="N9" s="7"/>
      <c r="O9" s="5"/>
      <c r="P9" s="5"/>
      <c r="Q9" s="5"/>
    </row>
    <row r="10" spans="3:17" x14ac:dyDescent="0.25">
      <c r="C10" s="1" t="s">
        <v>7</v>
      </c>
      <c r="F10" s="1" t="s">
        <v>8</v>
      </c>
      <c r="I10" s="1" t="s">
        <v>9</v>
      </c>
    </row>
    <row r="11" spans="3:17" x14ac:dyDescent="0.25">
      <c r="C11" s="54" t="str">
        <f>Settings!A6</f>
        <v>${offerValidation.SHIPMENTTERMS}</v>
      </c>
      <c r="D11" s="54"/>
      <c r="E11" s="54"/>
      <c r="F11" s="54" t="str">
        <f>Settings!A7</f>
        <v>${offerValidation.PAYMENTTERMS}</v>
      </c>
      <c r="G11" s="54"/>
      <c r="H11" s="54"/>
      <c r="I11" s="54" t="str">
        <f>Settings!A8</f>
        <v>${offerValidation.DELIVERYTERMS}</v>
      </c>
      <c r="J11" s="54"/>
      <c r="K11" s="54"/>
    </row>
    <row r="12" spans="3:17" ht="15.75" thickBot="1" x14ac:dyDescent="0.3"/>
    <row r="13" spans="3:17" ht="15.75" thickBot="1" x14ac:dyDescent="0.3">
      <c r="C13" s="9"/>
      <c r="D13" s="9" t="s">
        <v>10</v>
      </c>
      <c r="E13" s="9" t="s">
        <v>11</v>
      </c>
      <c r="F13" s="9" t="s">
        <v>12</v>
      </c>
      <c r="G13" s="9" t="s">
        <v>13</v>
      </c>
      <c r="H13" s="9" t="s">
        <v>14</v>
      </c>
      <c r="I13" s="9" t="s">
        <v>15</v>
      </c>
      <c r="J13" s="9" t="s">
        <v>16</v>
      </c>
      <c r="L13" s="9" t="s">
        <v>17</v>
      </c>
      <c r="M13" s="9" t="s">
        <v>18</v>
      </c>
      <c r="N13" s="9" t="s">
        <v>19</v>
      </c>
      <c r="O13" s="9" t="s">
        <v>20</v>
      </c>
      <c r="P13" s="9" t="s">
        <v>21</v>
      </c>
      <c r="Q13" s="9" t="s">
        <v>22</v>
      </c>
    </row>
    <row r="14" spans="3:17" x14ac:dyDescent="0.25">
      <c r="C14" t="str">
        <f>IF(Settings!A18="","",Settings!A18)</f>
        <v>${table:offerProductValidation.SKU}</v>
      </c>
      <c r="D14" t="str">
        <f>IF(Settings!B18="","",Settings!B18)</f>
        <v>${table:offerProductValidation.PRODUCT_UNIT_NAME}</v>
      </c>
      <c r="E14" t="str">
        <f>IF(CONCATENATE(Settings!C18," ",Settings!D18,"s")=" s"," ",CONCATENATE(Settings!C18," ",Settings!D18,"s"))</f>
        <v>${table:offerProductValidation.PAID_VOLUME} ${table:offerProductValidation.UNIT}s</v>
      </c>
      <c r="F14" t="str">
        <f>IF(Settings!L18="","",Settings!L18)</f>
        <v>${table:offerProductValidation.PACKSIZE}</v>
      </c>
      <c r="G14" t="str">
        <f>CONCATENATE(Settings!E18," ",Settings!F18)</f>
        <v>${table:offerProductValidation.OFFER_PRICE} ${table:offerProductValidation.CURRENCY}</v>
      </c>
      <c r="H14" t="str">
        <f>CONCATENATE(Settings!G18," ",Settings!F18)</f>
        <v>${table:offerProductValidation.OFFER_PRICE_VAT} ${table:offerProductValidation.CURRENCY}</v>
      </c>
      <c r="I14" t="str">
        <f>CONCATENATE(Settings!H18," ",Settings!F18)</f>
        <v>${table:offerProductValidation.GROSS_SALES_OFFER_CURRENCY} ${table:offerProductValidation.CURRENCY}</v>
      </c>
      <c r="J14" t="str">
        <f>CONCATENATE(Settings!I18," ",Settings!F18)</f>
        <v>${table:offerProductValidation.GROSS_SALES_OFFER_CURRENCY_VAT} ${table:offerProductValidation.CURRENCY}</v>
      </c>
      <c r="L14" t="str">
        <f>IF(Settings!M18="","",Settings!M18)</f>
        <v>${table:offerProductValidation.SAMPLES}</v>
      </c>
      <c r="M14" t="str">
        <f>IF(Settings!N18="","",Settings!N18)</f>
        <v>${table:offerProductValidation.COUNTRYOFORIGIN}</v>
      </c>
      <c r="N14" t="str">
        <f>IF(CONCATENATE(Settings!J18,"-",Settings!K18) = "-","",CONCATENATE(Settings!J18,"-",Settings!K18))</f>
        <v>${table:offerProductValidation.OFFER_ID}-${table:offerProductValidation.SORTER}</v>
      </c>
      <c r="O14" t="str">
        <f>IF(Settings!O18="","",Settings!O18)</f>
        <v>${table:offerProductValidation.FOC}</v>
      </c>
      <c r="P14" t="e">
        <f>Settings!Q18</f>
        <v>#VALUE!</v>
      </c>
      <c r="Q14" t="str">
        <f>_xlfn.CONCAT(Settings!R18," ",Settings!F18)</f>
        <v>${table:offerProductValidation.NET_PRICE} ${table:offerProductValidation.CURRENCY}</v>
      </c>
    </row>
    <row r="15" spans="3:17" x14ac:dyDescent="0.25">
      <c r="C15" t="str">
        <f>IF(Settings!A19="","",Settings!A19)</f>
        <v/>
      </c>
      <c r="D15" t="str">
        <f>IF(Settings!B19="","",Settings!B19)</f>
        <v/>
      </c>
      <c r="E15" t="str">
        <f>IF(CONCATENATE(Settings!C19," ",Settings!D19,"s")=" s"," ",CONCATENATE(Settings!C19," ",Settings!D19,"s"))</f>
        <v xml:space="preserve"> </v>
      </c>
      <c r="F15" t="str">
        <f>IF(Settings!L19="","",Settings!L19)</f>
        <v/>
      </c>
      <c r="G15" t="str">
        <f>CONCATENATE(Settings!E19," ",Settings!F19)</f>
        <v xml:space="preserve"> </v>
      </c>
      <c r="H15" t="str">
        <f>CONCATENATE(Settings!G19," ",Settings!F19)</f>
        <v xml:space="preserve"> </v>
      </c>
      <c r="I15" t="str">
        <f>CONCATENATE(Settings!H19," ",Settings!F19)</f>
        <v xml:space="preserve"> </v>
      </c>
      <c r="J15" t="str">
        <f>CONCATENATE(Settings!I19," ",Settings!F19)</f>
        <v xml:space="preserve"> </v>
      </c>
      <c r="L15" t="str">
        <f>IF(Settings!M19="","",Settings!M19)</f>
        <v/>
      </c>
      <c r="M15" t="str">
        <f>IF(Settings!N19="","",Settings!N19)</f>
        <v/>
      </c>
      <c r="N15" t="str">
        <f>IF(CONCATENATE(Settings!J19,"-",Settings!K19) = "-","",CONCATENATE(Settings!J19,"-",Settings!K19))</f>
        <v/>
      </c>
      <c r="O15" t="str">
        <f>IF(Settings!O19="","",Settings!O19)</f>
        <v/>
      </c>
      <c r="P15" t="str">
        <f>Settings!Q19</f>
        <v/>
      </c>
      <c r="Q15" t="str">
        <f>_xlfn.CONCAT(Settings!R19," ",Settings!F19)</f>
        <v xml:space="preserve"> </v>
      </c>
    </row>
    <row r="16" spans="3:17" x14ac:dyDescent="0.25">
      <c r="C16" t="str">
        <f>IF(Settings!A20="","",Settings!A20)</f>
        <v/>
      </c>
      <c r="D16" t="str">
        <f>IF(Settings!B20="","",Settings!B20)</f>
        <v/>
      </c>
      <c r="E16" t="str">
        <f>IF(CONCATENATE(Settings!C20," ",Settings!D20,"s")=" s"," ",CONCATENATE(Settings!C20," ",Settings!D20,"s"))</f>
        <v xml:space="preserve"> </v>
      </c>
      <c r="F16" t="str">
        <f>IF(Settings!L20="","",Settings!L20)</f>
        <v/>
      </c>
      <c r="G16" t="str">
        <f>CONCATENATE(Settings!E20," ",Settings!F20)</f>
        <v xml:space="preserve"> </v>
      </c>
      <c r="H16" t="str">
        <f>CONCATENATE(Settings!G20," ",Settings!F20)</f>
        <v xml:space="preserve"> </v>
      </c>
      <c r="I16" t="str">
        <f>CONCATENATE(Settings!H20," ",Settings!F20)</f>
        <v xml:space="preserve"> </v>
      </c>
      <c r="J16" t="str">
        <f>CONCATENATE(Settings!I20," ",Settings!F20)</f>
        <v xml:space="preserve"> </v>
      </c>
      <c r="L16" t="str">
        <f>IF(Settings!M20="","",Settings!M20)</f>
        <v/>
      </c>
      <c r="M16" t="str">
        <f>IF(Settings!N20="","",Settings!N20)</f>
        <v/>
      </c>
      <c r="N16" t="str">
        <f>IF(CONCATENATE(Settings!J20,"-",Settings!K20) = "-","",CONCATENATE(Settings!J20,"-",Settings!K20))</f>
        <v/>
      </c>
      <c r="O16" t="str">
        <f>IF(Settings!O20="","",Settings!O20)</f>
        <v/>
      </c>
      <c r="P16" t="str">
        <f>Settings!Q20</f>
        <v/>
      </c>
      <c r="Q16" t="str">
        <f>_xlfn.CONCAT(Settings!R20," ",Settings!F20)</f>
        <v xml:space="preserve"> </v>
      </c>
    </row>
    <row r="17" spans="3:17" x14ac:dyDescent="0.25">
      <c r="C17" t="str">
        <f>IF(Settings!A21="","",Settings!A21)</f>
        <v/>
      </c>
      <c r="D17" t="str">
        <f>IF(Settings!B21="","",Settings!B21)</f>
        <v/>
      </c>
      <c r="E17" t="str">
        <f>IF(CONCATENATE(Settings!C21," ",Settings!D21,"s")=" s"," ",CONCATENATE(Settings!C21," ",Settings!D21,"s"))</f>
        <v xml:space="preserve"> </v>
      </c>
      <c r="F17" t="str">
        <f>IF(Settings!L21="","",Settings!L21)</f>
        <v/>
      </c>
      <c r="G17" t="str">
        <f>CONCATENATE(Settings!E21," ",Settings!F21)</f>
        <v xml:space="preserve"> </v>
      </c>
      <c r="H17" t="str">
        <f>CONCATENATE(Settings!G21," ",Settings!F21)</f>
        <v xml:space="preserve"> </v>
      </c>
      <c r="I17" t="str">
        <f>CONCATENATE(Settings!H21," ",Settings!F21)</f>
        <v xml:space="preserve"> </v>
      </c>
      <c r="J17" t="str">
        <f>CONCATENATE(Settings!I21," ",Settings!F21)</f>
        <v xml:space="preserve"> </v>
      </c>
      <c r="L17" t="str">
        <f>IF(Settings!M21="","",Settings!M21)</f>
        <v/>
      </c>
      <c r="M17" t="str">
        <f>IF(Settings!N21="","",Settings!N21)</f>
        <v/>
      </c>
      <c r="N17" t="str">
        <f>IF(CONCATENATE(Settings!J21,"-",Settings!K21) = "-","",CONCATENATE(Settings!J21,"-",Settings!K21))</f>
        <v/>
      </c>
      <c r="O17" t="str">
        <f>IF(Settings!O21="","",Settings!O21)</f>
        <v/>
      </c>
      <c r="P17" t="str">
        <f>Settings!Q21</f>
        <v/>
      </c>
      <c r="Q17" t="str">
        <f>_xlfn.CONCAT(Settings!R21," ",Settings!F21)</f>
        <v xml:space="preserve"> </v>
      </c>
    </row>
    <row r="18" spans="3:17" x14ac:dyDescent="0.25">
      <c r="C18" t="str">
        <f>IF(Settings!A22="","",Settings!A22)</f>
        <v/>
      </c>
      <c r="D18" t="str">
        <f>IF(Settings!B22="","",Settings!B22)</f>
        <v/>
      </c>
      <c r="E18" t="str">
        <f>IF(CONCATENATE(Settings!C22," ",Settings!D22,"s")=" s"," ",CONCATENATE(Settings!C22," ",Settings!D22,"s"))</f>
        <v xml:space="preserve"> </v>
      </c>
      <c r="F18" t="str">
        <f>IF(Settings!L22="","",Settings!L22)</f>
        <v/>
      </c>
      <c r="G18" t="str">
        <f>CONCATENATE(Settings!E22," ",Settings!F22)</f>
        <v xml:space="preserve"> </v>
      </c>
      <c r="H18" t="str">
        <f>CONCATENATE(Settings!G22," ",Settings!F22)</f>
        <v xml:space="preserve"> </v>
      </c>
      <c r="I18" t="str">
        <f>CONCATENATE(Settings!H22," ",Settings!F22)</f>
        <v xml:space="preserve"> </v>
      </c>
      <c r="J18" t="str">
        <f>CONCATENATE(Settings!I22," ",Settings!F22)</f>
        <v xml:space="preserve"> </v>
      </c>
      <c r="L18" t="str">
        <f>IF(Settings!M22="","",Settings!M22)</f>
        <v/>
      </c>
      <c r="M18" t="str">
        <f>IF(Settings!N22="","",Settings!N22)</f>
        <v/>
      </c>
      <c r="N18" t="str">
        <f>IF(CONCATENATE(Settings!J22,"-",Settings!K22) = "-","",CONCATENATE(Settings!J22,"-",Settings!K22))</f>
        <v/>
      </c>
      <c r="O18" t="str">
        <f>IF(Settings!O22="","",Settings!O22)</f>
        <v/>
      </c>
      <c r="P18" t="str">
        <f>Settings!Q22</f>
        <v/>
      </c>
      <c r="Q18" t="str">
        <f>_xlfn.CONCAT(Settings!R22," ",Settings!F22)</f>
        <v xml:space="preserve"> </v>
      </c>
    </row>
    <row r="19" spans="3:17" x14ac:dyDescent="0.25">
      <c r="C19" t="str">
        <f>IF(Settings!A23="","",Settings!A23)</f>
        <v/>
      </c>
      <c r="D19" t="str">
        <f>IF(Settings!B23="","",Settings!B23)</f>
        <v/>
      </c>
      <c r="E19" t="str">
        <f>IF(CONCATENATE(Settings!C23," ",Settings!D23,"s")=" s"," ",CONCATENATE(Settings!C23," ",Settings!D23,"s"))</f>
        <v xml:space="preserve"> </v>
      </c>
      <c r="F19" t="str">
        <f>IF(Settings!L23="","",Settings!L23)</f>
        <v/>
      </c>
      <c r="G19" t="str">
        <f>CONCATENATE(Settings!E23," ",Settings!F23)</f>
        <v xml:space="preserve"> </v>
      </c>
      <c r="H19" t="str">
        <f>CONCATENATE(Settings!G23," ",Settings!F23)</f>
        <v xml:space="preserve"> </v>
      </c>
      <c r="I19" t="str">
        <f>CONCATENATE(Settings!H23," ",Settings!F23)</f>
        <v xml:space="preserve"> </v>
      </c>
      <c r="J19" t="str">
        <f>CONCATENATE(Settings!I23," ",Settings!F23)</f>
        <v xml:space="preserve"> </v>
      </c>
      <c r="L19" t="str">
        <f>IF(Settings!M23="","",Settings!M23)</f>
        <v/>
      </c>
      <c r="M19" t="str">
        <f>IF(Settings!N23="","",Settings!N23)</f>
        <v/>
      </c>
      <c r="N19" t="str">
        <f>IF(CONCATENATE(Settings!J23,"-",Settings!K23) = "-","",CONCATENATE(Settings!J23,"-",Settings!K23))</f>
        <v/>
      </c>
      <c r="O19" t="str">
        <f>IF(Settings!O23="","",Settings!O23)</f>
        <v/>
      </c>
      <c r="P19" t="str">
        <f>Settings!Q23</f>
        <v/>
      </c>
      <c r="Q19" t="str">
        <f>_xlfn.CONCAT(Settings!R23," ",Settings!F23)</f>
        <v xml:space="preserve"> </v>
      </c>
    </row>
    <row r="20" spans="3:17" x14ac:dyDescent="0.25">
      <c r="C20" t="str">
        <f>IF(Settings!A24="","",Settings!A24)</f>
        <v/>
      </c>
      <c r="D20" t="str">
        <f>IF(Settings!B24="","",Settings!B24)</f>
        <v/>
      </c>
      <c r="E20" t="str">
        <f>IF(CONCATENATE(Settings!C24," ",Settings!D24,"s")=" s"," ",CONCATENATE(Settings!C24," ",Settings!D24,"s"))</f>
        <v xml:space="preserve"> </v>
      </c>
      <c r="F20" t="str">
        <f>IF(Settings!L24="","",Settings!L24)</f>
        <v/>
      </c>
      <c r="G20" t="str">
        <f>CONCATENATE(Settings!E24," ",Settings!F24)</f>
        <v xml:space="preserve"> </v>
      </c>
      <c r="H20" t="str">
        <f>CONCATENATE(Settings!G24," ",Settings!F24)</f>
        <v xml:space="preserve"> </v>
      </c>
      <c r="I20" t="str">
        <f>CONCATENATE(Settings!H24," ",Settings!F24)</f>
        <v xml:space="preserve"> </v>
      </c>
      <c r="J20" t="str">
        <f>CONCATENATE(Settings!I24," ",Settings!F24)</f>
        <v xml:space="preserve"> </v>
      </c>
      <c r="L20" t="str">
        <f>IF(Settings!M24="","",Settings!M24)</f>
        <v/>
      </c>
      <c r="M20" t="str">
        <f>IF(Settings!N24="","",Settings!N24)</f>
        <v/>
      </c>
      <c r="N20" t="str">
        <f>IF(CONCATENATE(Settings!J24,"-",Settings!K24) = "-","",CONCATENATE(Settings!J24,"-",Settings!K24))</f>
        <v/>
      </c>
      <c r="O20" t="str">
        <f>IF(Settings!O24="","",Settings!O24)</f>
        <v/>
      </c>
      <c r="P20" t="str">
        <f>Settings!Q24</f>
        <v/>
      </c>
      <c r="Q20" t="str">
        <f>_xlfn.CONCAT(Settings!R24," ",Settings!F24)</f>
        <v xml:space="preserve"> </v>
      </c>
    </row>
    <row r="21" spans="3:17" x14ac:dyDescent="0.25">
      <c r="C21" t="str">
        <f>IF(Settings!A25="","",Settings!A25)</f>
        <v/>
      </c>
      <c r="D21" t="str">
        <f>IF(Settings!B25="","",Settings!B25)</f>
        <v/>
      </c>
      <c r="E21" t="str">
        <f>IF(CONCATENATE(Settings!C25," ",Settings!D25,"s")=" s"," ",CONCATENATE(Settings!C25," ",Settings!D25,"s"))</f>
        <v xml:space="preserve"> </v>
      </c>
      <c r="F21" t="str">
        <f>IF(Settings!L25="","",Settings!L25)</f>
        <v/>
      </c>
      <c r="G21" t="str">
        <f>CONCATENATE(Settings!E25," ",Settings!F25)</f>
        <v xml:space="preserve"> </v>
      </c>
      <c r="H21" t="str">
        <f>CONCATENATE(Settings!G25," ",Settings!F25)</f>
        <v xml:space="preserve"> </v>
      </c>
      <c r="I21" t="str">
        <f>CONCATENATE(Settings!H25," ",Settings!F25)</f>
        <v xml:space="preserve"> </v>
      </c>
      <c r="J21" t="str">
        <f>CONCATENATE(Settings!I25," ",Settings!F25)</f>
        <v xml:space="preserve"> </v>
      </c>
      <c r="L21" t="str">
        <f>IF(Settings!M25="","",Settings!M25)</f>
        <v/>
      </c>
      <c r="M21" t="str">
        <f>IF(Settings!N25="","",Settings!N25)</f>
        <v/>
      </c>
      <c r="N21" t="str">
        <f>IF(CONCATENATE(Settings!J25,"-",Settings!K25) = "-","",CONCATENATE(Settings!J25,"-",Settings!K25))</f>
        <v/>
      </c>
      <c r="O21" t="str">
        <f>IF(Settings!O25="","",Settings!O25)</f>
        <v/>
      </c>
      <c r="P21" t="str">
        <f>Settings!Q25</f>
        <v/>
      </c>
      <c r="Q21" t="str">
        <f>_xlfn.CONCAT(Settings!R25," ",Settings!F25)</f>
        <v xml:space="preserve"> </v>
      </c>
    </row>
    <row r="22" spans="3:17" x14ac:dyDescent="0.25">
      <c r="C22" t="str">
        <f>IF(Settings!A26="","",Settings!A26)</f>
        <v/>
      </c>
      <c r="D22" t="str">
        <f>IF(Settings!B26="","",Settings!B26)</f>
        <v/>
      </c>
      <c r="E22" t="str">
        <f>IF(CONCATENATE(Settings!C26," ",Settings!D26,"s")=" s"," ",CONCATENATE(Settings!C26," ",Settings!D26,"s"))</f>
        <v xml:space="preserve"> </v>
      </c>
      <c r="F22" t="str">
        <f>IF(Settings!L26="","",Settings!L26)</f>
        <v/>
      </c>
      <c r="G22" t="str">
        <f>CONCATENATE(Settings!E26," ",Settings!F26)</f>
        <v xml:space="preserve"> </v>
      </c>
      <c r="H22" t="str">
        <f>CONCATENATE(Settings!G26," ",Settings!F26)</f>
        <v xml:space="preserve"> </v>
      </c>
      <c r="I22" t="str">
        <f>CONCATENATE(Settings!H26," ",Settings!F26)</f>
        <v xml:space="preserve"> </v>
      </c>
      <c r="J22" t="str">
        <f>CONCATENATE(Settings!I26," ",Settings!F26)</f>
        <v xml:space="preserve"> </v>
      </c>
      <c r="L22" t="str">
        <f>IF(Settings!M26="","",Settings!M26)</f>
        <v/>
      </c>
      <c r="M22" t="str">
        <f>IF(Settings!N26="","",Settings!N26)</f>
        <v/>
      </c>
      <c r="N22" t="str">
        <f>IF(CONCATENATE(Settings!J26,"-",Settings!K26) = "-","",CONCATENATE(Settings!J26,"-",Settings!K26))</f>
        <v/>
      </c>
      <c r="O22" t="str">
        <f>IF(Settings!O26="","",Settings!O26)</f>
        <v/>
      </c>
      <c r="P22" t="str">
        <f>Settings!Q26</f>
        <v/>
      </c>
      <c r="Q22" t="str">
        <f>_xlfn.CONCAT(Settings!R26," ",Settings!F26)</f>
        <v xml:space="preserve"> </v>
      </c>
    </row>
    <row r="23" spans="3:17" x14ac:dyDescent="0.25">
      <c r="C23" t="str">
        <f>IF(Settings!A27="","",Settings!A27)</f>
        <v/>
      </c>
      <c r="D23" t="str">
        <f>IF(Settings!B27="","",Settings!B27)</f>
        <v/>
      </c>
      <c r="E23" t="str">
        <f>IF(CONCATENATE(Settings!C27," ",Settings!D27,"s")=" s"," ",CONCATENATE(Settings!C27," ",Settings!D27,"s"))</f>
        <v xml:space="preserve"> </v>
      </c>
      <c r="F23" t="str">
        <f>IF(Settings!L27="","",Settings!L27)</f>
        <v/>
      </c>
      <c r="G23" t="str">
        <f>CONCATENATE(Settings!E27," ",Settings!F27)</f>
        <v xml:space="preserve"> </v>
      </c>
      <c r="H23" t="str">
        <f>CONCATENATE(Settings!G27," ",Settings!F27)</f>
        <v xml:space="preserve"> </v>
      </c>
      <c r="I23" t="str">
        <f>CONCATENATE(Settings!H27," ",Settings!F27)</f>
        <v xml:space="preserve"> </v>
      </c>
      <c r="J23" t="str">
        <f>CONCATENATE(Settings!I27," ",Settings!F27)</f>
        <v xml:space="preserve"> </v>
      </c>
      <c r="L23" t="str">
        <f>IF(Settings!M27="","",Settings!M27)</f>
        <v/>
      </c>
      <c r="M23" t="str">
        <f>IF(Settings!N27="","",Settings!N27)</f>
        <v/>
      </c>
      <c r="N23" t="str">
        <f>IF(CONCATENATE(Settings!J27,"-",Settings!K27) = "-","",CONCATENATE(Settings!J27,"-",Settings!K27))</f>
        <v/>
      </c>
      <c r="O23" t="str">
        <f>IF(Settings!O27="","",Settings!O27)</f>
        <v/>
      </c>
      <c r="P23" t="str">
        <f>Settings!Q27</f>
        <v/>
      </c>
      <c r="Q23" t="str">
        <f>_xlfn.CONCAT(Settings!R27," ",Settings!F27)</f>
        <v xml:space="preserve"> </v>
      </c>
    </row>
    <row r="24" spans="3:17" x14ac:dyDescent="0.25">
      <c r="C24" t="str">
        <f>IF(Settings!A28="","",Settings!A28)</f>
        <v/>
      </c>
      <c r="D24" t="str">
        <f>IF(Settings!B28="","",Settings!B28)</f>
        <v/>
      </c>
      <c r="E24" t="str">
        <f>IF(CONCATENATE(Settings!C28," ",Settings!D28,"s")=" s"," ",CONCATENATE(Settings!C28," ",Settings!D28,"s"))</f>
        <v xml:space="preserve"> </v>
      </c>
      <c r="F24" t="str">
        <f>IF(Settings!L28="","",Settings!L28)</f>
        <v/>
      </c>
      <c r="G24" t="str">
        <f>CONCATENATE(Settings!E28," ",Settings!F28)</f>
        <v xml:space="preserve"> </v>
      </c>
      <c r="H24" t="str">
        <f>CONCATENATE(Settings!G28," ",Settings!F28)</f>
        <v xml:space="preserve"> </v>
      </c>
      <c r="I24" t="str">
        <f>CONCATENATE(Settings!H28," ",Settings!F28)</f>
        <v xml:space="preserve"> </v>
      </c>
      <c r="J24" t="str">
        <f>CONCATENATE(Settings!I28," ",Settings!F28)</f>
        <v xml:space="preserve"> </v>
      </c>
      <c r="L24" t="str">
        <f>IF(Settings!M28="","",Settings!M28)</f>
        <v/>
      </c>
      <c r="M24" t="str">
        <f>IF(Settings!N28="","",Settings!N28)</f>
        <v/>
      </c>
      <c r="N24" t="str">
        <f>IF(CONCATENATE(Settings!J28,"-",Settings!K28) = "-","",CONCATENATE(Settings!J28,"-",Settings!K28))</f>
        <v/>
      </c>
      <c r="O24" t="str">
        <f>IF(Settings!O28="","",Settings!O28)</f>
        <v/>
      </c>
      <c r="P24" t="str">
        <f>Settings!Q28</f>
        <v/>
      </c>
      <c r="Q24" t="str">
        <f>_xlfn.CONCAT(Settings!R28," ",Settings!F28)</f>
        <v xml:space="preserve"> </v>
      </c>
    </row>
    <row r="25" spans="3:17" x14ac:dyDescent="0.25">
      <c r="C25" t="str">
        <f>IF(Settings!A29="","",Settings!A29)</f>
        <v/>
      </c>
      <c r="D25" t="str">
        <f>IF(Settings!B29="","",Settings!B29)</f>
        <v/>
      </c>
      <c r="E25" t="str">
        <f>IF(CONCATENATE(Settings!C29," ",Settings!D29,"s")=" s"," ",CONCATENATE(Settings!C29," ",Settings!D29,"s"))</f>
        <v xml:space="preserve"> </v>
      </c>
      <c r="F25" t="str">
        <f>IF(Settings!L29="","",Settings!L29)</f>
        <v/>
      </c>
      <c r="G25" t="str">
        <f>CONCATENATE(Settings!E29," ",Settings!F29)</f>
        <v xml:space="preserve"> </v>
      </c>
      <c r="H25" t="str">
        <f>CONCATENATE(Settings!G29," ",Settings!F29)</f>
        <v xml:space="preserve"> </v>
      </c>
      <c r="I25" t="str">
        <f>CONCATENATE(Settings!H29," ",Settings!F29)</f>
        <v xml:space="preserve"> </v>
      </c>
      <c r="J25" t="str">
        <f>CONCATENATE(Settings!I29," ",Settings!F29)</f>
        <v xml:space="preserve"> </v>
      </c>
      <c r="L25" t="str">
        <f>IF(Settings!M29="","",Settings!M29)</f>
        <v/>
      </c>
      <c r="M25" t="str">
        <f>IF(Settings!N29="","",Settings!N29)</f>
        <v/>
      </c>
      <c r="N25" t="str">
        <f>IF(CONCATENATE(Settings!J29,"-",Settings!K29) = "-","",CONCATENATE(Settings!J29,"-",Settings!K29))</f>
        <v/>
      </c>
      <c r="O25" t="str">
        <f>IF(Settings!O29="","",Settings!O29)</f>
        <v/>
      </c>
      <c r="P25" t="str">
        <f>Settings!Q29</f>
        <v/>
      </c>
      <c r="Q25" t="str">
        <f>_xlfn.CONCAT(Settings!R29," ",Settings!F29)</f>
        <v xml:space="preserve"> </v>
      </c>
    </row>
    <row r="26" spans="3:17" x14ac:dyDescent="0.25">
      <c r="C26" t="str">
        <f>IF(Settings!A30="","",Settings!A30)</f>
        <v/>
      </c>
      <c r="D26" t="str">
        <f>IF(Settings!B30="","",Settings!B30)</f>
        <v/>
      </c>
      <c r="E26" t="str">
        <f>IF(CONCATENATE(Settings!C30," ",Settings!D30,"s")=" s"," ",CONCATENATE(Settings!C30," ",Settings!D30,"s"))</f>
        <v xml:space="preserve"> </v>
      </c>
      <c r="F26" t="str">
        <f>IF(Settings!L30="","",Settings!L30)</f>
        <v/>
      </c>
      <c r="G26" t="str">
        <f>CONCATENATE(Settings!E30," ",Settings!F30)</f>
        <v xml:space="preserve"> </v>
      </c>
      <c r="H26" t="str">
        <f>CONCATENATE(Settings!G30," ",Settings!F30)</f>
        <v xml:space="preserve"> </v>
      </c>
      <c r="I26" t="str">
        <f>CONCATENATE(Settings!H30," ",Settings!F30)</f>
        <v xml:space="preserve"> </v>
      </c>
      <c r="J26" t="str">
        <f>CONCATENATE(Settings!I30," ",Settings!F30)</f>
        <v xml:space="preserve"> </v>
      </c>
      <c r="L26" t="str">
        <f>IF(Settings!M30="","",Settings!M30)</f>
        <v/>
      </c>
      <c r="M26" t="str">
        <f>IF(Settings!N30="","",Settings!N30)</f>
        <v/>
      </c>
      <c r="N26" t="str">
        <f>IF(CONCATENATE(Settings!J30,"-",Settings!K30) = "-","",CONCATENATE(Settings!J30,"-",Settings!K30))</f>
        <v/>
      </c>
      <c r="O26" t="str">
        <f>IF(Settings!O30="","",Settings!O30)</f>
        <v/>
      </c>
      <c r="P26" t="str">
        <f>Settings!Q30</f>
        <v/>
      </c>
      <c r="Q26" t="str">
        <f>_xlfn.CONCAT(Settings!R30," ",Settings!F30)</f>
        <v xml:space="preserve"> </v>
      </c>
    </row>
    <row r="27" spans="3:17" x14ac:dyDescent="0.25">
      <c r="C27" t="str">
        <f>IF(Settings!A31="","",Settings!A31)</f>
        <v/>
      </c>
      <c r="D27" t="str">
        <f>IF(Settings!B31="","",Settings!B31)</f>
        <v/>
      </c>
      <c r="E27" t="str">
        <f>IF(CONCATENATE(Settings!C31," ",Settings!D31,"s")=" s"," ",CONCATENATE(Settings!C31," ",Settings!D31,"s"))</f>
        <v xml:space="preserve"> </v>
      </c>
      <c r="F27" t="str">
        <f>IF(Settings!L31="","",Settings!L31)</f>
        <v/>
      </c>
      <c r="G27" t="str">
        <f>CONCATENATE(Settings!E31," ",Settings!F31)</f>
        <v xml:space="preserve"> </v>
      </c>
      <c r="H27" t="str">
        <f>CONCATENATE(Settings!G31," ",Settings!F31)</f>
        <v xml:space="preserve"> </v>
      </c>
      <c r="I27" t="str">
        <f>CONCATENATE(Settings!H31," ",Settings!F31)</f>
        <v xml:space="preserve"> </v>
      </c>
      <c r="J27" t="str">
        <f>CONCATENATE(Settings!I31," ",Settings!F31)</f>
        <v xml:space="preserve"> </v>
      </c>
      <c r="L27" t="str">
        <f>IF(Settings!M31="","",Settings!M31)</f>
        <v/>
      </c>
      <c r="M27" t="str">
        <f>IF(Settings!N31="","",Settings!N31)</f>
        <v/>
      </c>
      <c r="N27" t="str">
        <f>IF(CONCATENATE(Settings!J31,"-",Settings!K31) = "-","",CONCATENATE(Settings!J31,"-",Settings!K31))</f>
        <v/>
      </c>
      <c r="O27" t="str">
        <f>IF(Settings!O31="","",Settings!O31)</f>
        <v/>
      </c>
      <c r="P27" t="str">
        <f>Settings!Q31</f>
        <v/>
      </c>
      <c r="Q27" t="str">
        <f>_xlfn.CONCAT(Settings!R31," ",Settings!F31)</f>
        <v xml:space="preserve"> </v>
      </c>
    </row>
    <row r="28" spans="3:17" x14ac:dyDescent="0.25">
      <c r="C28" t="str">
        <f>IF(Settings!A32="","",Settings!A32)</f>
        <v/>
      </c>
      <c r="D28" t="str">
        <f>IF(Settings!B32="","",Settings!B32)</f>
        <v/>
      </c>
      <c r="E28" t="str">
        <f>IF(CONCATENATE(Settings!C32," ",Settings!D32,"s")=" s"," ",CONCATENATE(Settings!C32," ",Settings!D32,"s"))</f>
        <v xml:space="preserve"> </v>
      </c>
      <c r="F28" t="str">
        <f>IF(Settings!L32="","",Settings!L32)</f>
        <v/>
      </c>
      <c r="G28" t="str">
        <f>CONCATENATE(Settings!E32," ",Settings!F32)</f>
        <v xml:space="preserve"> </v>
      </c>
      <c r="H28" t="str">
        <f>CONCATENATE(Settings!G32," ",Settings!F32)</f>
        <v xml:space="preserve"> </v>
      </c>
      <c r="I28" t="str">
        <f>CONCATENATE(Settings!H32," ",Settings!F32)</f>
        <v xml:space="preserve"> </v>
      </c>
      <c r="J28" t="str">
        <f>CONCATENATE(Settings!I32," ",Settings!F32)</f>
        <v xml:space="preserve"> </v>
      </c>
      <c r="N28" t="str">
        <f t="shared" ref="N28:N33" si="0">IF(CONCATENATE(J80,"-",K80) = "-","",CONCATENATE(J80,"-",K80))</f>
        <v/>
      </c>
    </row>
    <row r="29" spans="3:17" x14ac:dyDescent="0.25">
      <c r="C29" t="str">
        <f>IF(Settings!A33="","",Settings!A33)</f>
        <v/>
      </c>
      <c r="D29" t="str">
        <f>IF(Settings!B33="","",Settings!B33)</f>
        <v/>
      </c>
      <c r="E29" t="str">
        <f>IF(CONCATENATE(Settings!C33," ",Settings!D33,"s")=" s"," ",CONCATENATE(Settings!C33," ",Settings!D33,"s"))</f>
        <v xml:space="preserve"> </v>
      </c>
      <c r="F29" t="str">
        <f>IF(Settings!L33="","",Settings!L33)</f>
        <v/>
      </c>
      <c r="G29" t="str">
        <f>CONCATENATE(Settings!E33," ",Settings!F33)</f>
        <v xml:space="preserve"> </v>
      </c>
      <c r="H29" t="str">
        <f>CONCATENATE(Settings!G33," ",Settings!F33)</f>
        <v xml:space="preserve"> </v>
      </c>
      <c r="I29" t="str">
        <f>CONCATENATE(Settings!H33," ",Settings!F33)</f>
        <v xml:space="preserve"> </v>
      </c>
      <c r="J29" t="str">
        <f>CONCATENATE(Settings!I33," ",Settings!F33)</f>
        <v xml:space="preserve"> </v>
      </c>
      <c r="N29" t="str">
        <f t="shared" si="0"/>
        <v/>
      </c>
      <c r="P29" s="2" t="s">
        <v>36</v>
      </c>
      <c r="Q29" t="str">
        <f>_xlfn.CONCAT(Settings!S18," ",Settings!F18)</f>
        <v>${offerValidation.AMOUNT_IN_NUMBERS} ${table:offerProductValidation.CURRENCY}</v>
      </c>
    </row>
    <row r="30" spans="3:17" x14ac:dyDescent="0.25">
      <c r="C30" t="str">
        <f>IF(Settings!A34="","",Settings!A34)</f>
        <v/>
      </c>
      <c r="D30" t="str">
        <f>IF(Settings!B34="","",Settings!B34)</f>
        <v/>
      </c>
      <c r="E30" t="str">
        <f>IF(CONCATENATE(Settings!C34," ",Settings!D34,"s")=" s"," ",CONCATENATE(Settings!C34," ",Settings!D34,"s"))</f>
        <v xml:space="preserve"> </v>
      </c>
      <c r="F30" t="str">
        <f>IF(Settings!L34="","",Settings!L34)</f>
        <v/>
      </c>
      <c r="G30" t="str">
        <f>CONCATENATE(Settings!E34," ",Settings!F34)</f>
        <v xml:space="preserve"> </v>
      </c>
      <c r="H30" t="str">
        <f>CONCATENATE(Settings!G34," ",Settings!F34)</f>
        <v xml:space="preserve"> </v>
      </c>
      <c r="I30" t="str">
        <f>CONCATENATE(Settings!H34," ",Settings!F34)</f>
        <v xml:space="preserve"> </v>
      </c>
      <c r="J30" t="str">
        <f>CONCATENATE(Settings!I34," ",Settings!F34)</f>
        <v xml:space="preserve"> </v>
      </c>
      <c r="N30" t="str">
        <f t="shared" si="0"/>
        <v/>
      </c>
      <c r="P30" s="8"/>
    </row>
    <row r="31" spans="3:17" x14ac:dyDescent="0.25">
      <c r="E31" t="str">
        <f>IF(CONCATENATE(Quotation_old!C83," ",Quotation_old!D83,"s")=" s"," ",CONCATENATE(Quotation_old!C83," ",Quotation_old!D83,"s"))</f>
        <v xml:space="preserve"> </v>
      </c>
      <c r="G31" t="str">
        <f>CONCATENATE(Settings!E35," ",Settings!F35)</f>
        <v xml:space="preserve"> </v>
      </c>
      <c r="H31" t="str">
        <f t="shared" ref="H31:H35" si="1">CONCATENATE(G83," ",F83)</f>
        <v xml:space="preserve"> </v>
      </c>
      <c r="I31" t="str">
        <f t="shared" ref="I31:I35" si="2">CONCATENATE(H83," ",F83)</f>
        <v xml:space="preserve"> </v>
      </c>
      <c r="J31" t="str">
        <f t="shared" ref="J31:J34" si="3">CONCATENATE(I83," ",F83)</f>
        <v xml:space="preserve"> </v>
      </c>
      <c r="N31" t="str">
        <f t="shared" si="0"/>
        <v/>
      </c>
      <c r="P31" s="2" t="s">
        <v>37</v>
      </c>
      <c r="Q31" t="str">
        <f>_xlfn.CONCAT(Settings!T18," ",Settings!F18)</f>
        <v>${offerValidation.VAT_TOTAL} ${table:offerProductValidation.CURRENCY}</v>
      </c>
    </row>
    <row r="32" spans="3:17" x14ac:dyDescent="0.25">
      <c r="E32" t="str">
        <f>IF(CONCATENATE(Quotation_old!C84," ",Quotation_old!D84,"s")=" s"," ",CONCATENATE(Quotation_old!C84," ",Quotation_old!D84,"s"))</f>
        <v xml:space="preserve"> </v>
      </c>
      <c r="G32" t="str">
        <f>CONCATENATE(Settings!E36," ",Settings!F36)</f>
        <v xml:space="preserve"> </v>
      </c>
      <c r="H32" t="str">
        <f t="shared" si="1"/>
        <v xml:space="preserve"> </v>
      </c>
      <c r="I32" t="str">
        <f t="shared" si="2"/>
        <v xml:space="preserve"> </v>
      </c>
      <c r="J32" t="str">
        <f t="shared" si="3"/>
        <v xml:space="preserve"> </v>
      </c>
      <c r="N32" t="str">
        <f t="shared" si="0"/>
        <v/>
      </c>
      <c r="P32" s="8"/>
    </row>
    <row r="33" spans="5:17" x14ac:dyDescent="0.25">
      <c r="E33" t="str">
        <f>IF(CONCATENATE(Quotation_old!C85," ",Quotation_old!D85,"s")=" s"," ",CONCATENATE(Quotation_old!C85," ",Quotation_old!D85,"s"))</f>
        <v xml:space="preserve"> </v>
      </c>
      <c r="G33" t="str">
        <f>CONCATENATE(Settings!E37," ",Settings!F37)</f>
        <v xml:space="preserve"> </v>
      </c>
      <c r="H33" t="str">
        <f t="shared" si="1"/>
        <v xml:space="preserve"> </v>
      </c>
      <c r="I33" t="str">
        <f t="shared" si="2"/>
        <v xml:space="preserve"> </v>
      </c>
      <c r="J33" t="str">
        <f t="shared" si="3"/>
        <v xml:space="preserve"> </v>
      </c>
      <c r="N33" t="str">
        <f t="shared" si="0"/>
        <v/>
      </c>
      <c r="P33" s="2" t="s">
        <v>38</v>
      </c>
      <c r="Q33" t="str">
        <f>_xlfn.CONCAT(Settings!U18," ",Settings!F18)</f>
        <v>${offerValidation.AMOUNT_IN_NUMBERS_VAT} ${table:offerProductValidation.CURRENCY}</v>
      </c>
    </row>
    <row r="34" spans="5:17" x14ac:dyDescent="0.25">
      <c r="E34" t="str">
        <f>IF(CONCATENATE(Quotation_old!C86," ",Quotation_old!D86,"s")=" s"," ",CONCATENATE(Quotation_old!C86," ",Quotation_old!D86,"s"))</f>
        <v xml:space="preserve"> </v>
      </c>
      <c r="G34" t="str">
        <f>CONCATENATE(Settings!E38," ",Settings!F38)</f>
        <v xml:space="preserve"> </v>
      </c>
      <c r="H34" t="str">
        <f t="shared" si="1"/>
        <v xml:space="preserve"> </v>
      </c>
      <c r="I34" t="str">
        <f t="shared" si="2"/>
        <v xml:space="preserve"> </v>
      </c>
      <c r="J34" t="str">
        <f t="shared" si="3"/>
        <v xml:space="preserve"> </v>
      </c>
    </row>
    <row r="35" spans="5:17" x14ac:dyDescent="0.25">
      <c r="E35" t="str">
        <f>IF(CONCATENATE(Quotation_old!C87," ",Quotation_old!D87,"s")=" s"," ",CONCATENATE(Quotation_old!C87," ",Quotation_old!D87,"s"))</f>
        <v xml:space="preserve"> </v>
      </c>
      <c r="H35" t="str">
        <f t="shared" si="1"/>
        <v xml:space="preserve"> </v>
      </c>
      <c r="I35" t="str">
        <f t="shared" si="2"/>
        <v xml:space="preserve"> </v>
      </c>
    </row>
    <row r="36" spans="5:17" x14ac:dyDescent="0.25">
      <c r="E36" t="str">
        <f>IF(CONCATENATE(Quotation_old!C88," ",Quotation_old!D88,"s")=" s"," ",CONCATENATE(Quotation_old!C88," ",Quotation_old!D88,"s"))</f>
        <v xml:space="preserve"> </v>
      </c>
    </row>
  </sheetData>
  <mergeCells count="7">
    <mergeCell ref="L8:N8"/>
    <mergeCell ref="C8:E8"/>
    <mergeCell ref="C11:E11"/>
    <mergeCell ref="F8:H8"/>
    <mergeCell ref="F11:H11"/>
    <mergeCell ref="I8:K8"/>
    <mergeCell ref="I11:K11"/>
  </mergeCells>
  <pageMargins left="0.70866141732283472" right="0.70866141732283472" top="0.74803149606299213" bottom="0.74803149606299213" header="0.31496062992125984" footer="0.31496062992125984"/>
  <pageSetup paperSize="9" scale="51" orientation="landscape" horizontalDpi="4294967294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S44"/>
  <sheetViews>
    <sheetView tabSelected="1" zoomScale="90" zoomScaleNormal="90" workbookViewId="0">
      <selection activeCell="U13" sqref="U13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19" x14ac:dyDescent="0.25"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spans="2:19" x14ac:dyDescent="0.25">
      <c r="B3" s="46" t="s">
        <v>75</v>
      </c>
      <c r="C3" s="78" t="str">
        <f>Settings!A9</f>
        <v>${offerValidation.INSTITUTENAME}</v>
      </c>
      <c r="D3" s="78"/>
      <c r="E3" s="78"/>
      <c r="F3" s="78"/>
      <c r="G3" s="78"/>
      <c r="H3" s="21"/>
      <c r="I3" s="20"/>
      <c r="J3" s="46" t="s">
        <v>76</v>
      </c>
      <c r="K3" s="78"/>
      <c r="L3" s="78"/>
      <c r="M3" s="78"/>
      <c r="N3" s="78"/>
      <c r="O3" s="20"/>
      <c r="P3" s="20"/>
      <c r="Q3" s="20"/>
    </row>
    <row r="4" spans="2:19" x14ac:dyDescent="0.25">
      <c r="B4" s="46" t="s">
        <v>77</v>
      </c>
      <c r="C4" s="79"/>
      <c r="D4" s="80"/>
      <c r="E4" s="80"/>
      <c r="F4" s="80"/>
      <c r="G4" s="81"/>
      <c r="H4" s="22"/>
      <c r="I4" s="20"/>
      <c r="J4" s="46" t="s">
        <v>77</v>
      </c>
      <c r="K4" s="82"/>
      <c r="L4" s="83"/>
      <c r="M4" s="83"/>
      <c r="N4" s="84"/>
      <c r="O4" s="20"/>
      <c r="P4" s="20"/>
      <c r="Q4" s="20"/>
    </row>
    <row r="5" spans="2:19" x14ac:dyDescent="0.25">
      <c r="B5" s="23"/>
      <c r="C5" s="22"/>
      <c r="D5" s="22"/>
      <c r="E5" s="22"/>
      <c r="F5" s="22"/>
      <c r="G5" s="22"/>
      <c r="H5" s="22"/>
      <c r="I5" s="20"/>
      <c r="J5" s="23"/>
      <c r="K5" s="24"/>
      <c r="L5" s="24"/>
      <c r="M5" s="24"/>
      <c r="N5" s="24"/>
      <c r="O5" s="20"/>
      <c r="P5" s="20"/>
      <c r="Q5" s="20"/>
    </row>
    <row r="6" spans="2:19" x14ac:dyDescent="0.25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spans="2:19" x14ac:dyDescent="0.25">
      <c r="B7" s="109" t="s">
        <v>78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1"/>
    </row>
    <row r="8" spans="2:19" x14ac:dyDescent="0.25">
      <c r="B8" s="85" t="s">
        <v>79</v>
      </c>
      <c r="C8" s="85"/>
      <c r="D8" s="79"/>
      <c r="E8" s="80"/>
      <c r="F8" s="80"/>
      <c r="G8" s="80"/>
      <c r="H8" s="81"/>
      <c r="I8" s="86" t="s">
        <v>80</v>
      </c>
      <c r="J8" s="87"/>
      <c r="K8" s="114"/>
      <c r="L8" s="115"/>
      <c r="M8" s="115"/>
      <c r="N8" s="116"/>
      <c r="O8" s="44" t="s">
        <v>81</v>
      </c>
      <c r="P8" s="45"/>
      <c r="Q8" s="113"/>
      <c r="R8" s="113"/>
      <c r="S8" s="113"/>
    </row>
    <row r="9" spans="2:19" x14ac:dyDescent="0.25">
      <c r="B9" s="85" t="s">
        <v>82</v>
      </c>
      <c r="C9" s="85"/>
      <c r="D9" s="79"/>
      <c r="E9" s="80"/>
      <c r="F9" s="80"/>
      <c r="G9" s="80"/>
      <c r="H9" s="81"/>
      <c r="I9" s="88" t="s">
        <v>83</v>
      </c>
      <c r="J9" s="89"/>
      <c r="K9" s="117" t="s">
        <v>122</v>
      </c>
      <c r="L9" s="117"/>
      <c r="M9" s="117"/>
      <c r="N9" s="117"/>
      <c r="O9" s="44" t="s">
        <v>84</v>
      </c>
      <c r="P9" s="45"/>
      <c r="Q9" s="113"/>
      <c r="R9" s="113"/>
      <c r="S9" s="113"/>
    </row>
    <row r="10" spans="2:19" x14ac:dyDescent="0.25">
      <c r="B10" s="85" t="s">
        <v>85</v>
      </c>
      <c r="C10" s="85"/>
      <c r="D10" s="79"/>
      <c r="E10" s="80"/>
      <c r="F10" s="80"/>
      <c r="G10" s="80"/>
      <c r="H10" s="81"/>
      <c r="I10" s="118" t="s">
        <v>6</v>
      </c>
      <c r="J10" s="119"/>
      <c r="K10" s="117" t="s">
        <v>123</v>
      </c>
      <c r="L10" s="117"/>
      <c r="M10" s="117"/>
      <c r="N10" s="117"/>
      <c r="O10" s="44" t="s">
        <v>86</v>
      </c>
      <c r="P10" s="45"/>
      <c r="Q10" s="113"/>
      <c r="R10" s="113"/>
      <c r="S10" s="113"/>
    </row>
    <row r="11" spans="2:19" ht="15" customHeight="1" x14ac:dyDescent="0.25">
      <c r="B11" s="85" t="s">
        <v>7</v>
      </c>
      <c r="C11" s="85"/>
      <c r="D11" s="55" t="str">
        <f>Settings!A6</f>
        <v>${offerValidation.SHIPMENTTERMS}</v>
      </c>
      <c r="E11" s="56"/>
      <c r="F11" s="56"/>
      <c r="G11" s="56"/>
      <c r="H11" s="57"/>
      <c r="I11" s="86" t="s">
        <v>8</v>
      </c>
      <c r="J11" s="87"/>
      <c r="K11" s="112" t="str">
        <f>Settings!A7</f>
        <v>${offerValidation.PAYMENTTERMS}</v>
      </c>
      <c r="L11" s="112"/>
      <c r="M11" s="112"/>
      <c r="N11" s="112"/>
      <c r="O11" s="44" t="s">
        <v>84</v>
      </c>
      <c r="P11" s="45"/>
      <c r="Q11" s="113"/>
      <c r="R11" s="113"/>
      <c r="S11" s="113"/>
    </row>
    <row r="12" spans="2:19" x14ac:dyDescent="0.25">
      <c r="B12" s="85" t="s">
        <v>9</v>
      </c>
      <c r="C12" s="85"/>
      <c r="D12" s="55" t="s">
        <v>27</v>
      </c>
      <c r="E12" s="56"/>
      <c r="F12" s="56"/>
      <c r="G12" s="56"/>
      <c r="H12" s="57"/>
      <c r="I12" s="20"/>
      <c r="J12" s="20"/>
      <c r="K12" s="20"/>
      <c r="L12" s="20"/>
      <c r="M12" s="20"/>
      <c r="N12" s="20"/>
      <c r="O12" s="20"/>
      <c r="P12" s="20"/>
      <c r="Q12" s="20"/>
    </row>
    <row r="13" spans="2:19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spans="2:19" x14ac:dyDescent="0.25">
      <c r="B14" s="91" t="s">
        <v>87</v>
      </c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</row>
    <row r="15" spans="2:19" ht="15" customHeight="1" x14ac:dyDescent="0.25">
      <c r="B15" s="58" t="s">
        <v>88</v>
      </c>
      <c r="C15" s="61" t="s">
        <v>89</v>
      </c>
      <c r="D15" s="67" t="s">
        <v>90</v>
      </c>
      <c r="E15" s="69"/>
      <c r="F15" s="92" t="s">
        <v>91</v>
      </c>
      <c r="G15" s="92"/>
      <c r="H15" s="61" t="s">
        <v>92</v>
      </c>
      <c r="I15" s="61" t="s">
        <v>12</v>
      </c>
      <c r="J15" s="61" t="s">
        <v>93</v>
      </c>
      <c r="K15" s="67" t="s">
        <v>13</v>
      </c>
      <c r="L15" s="69"/>
      <c r="M15" s="61" t="s">
        <v>94</v>
      </c>
      <c r="N15" s="67" t="s">
        <v>22</v>
      </c>
      <c r="O15" s="69"/>
      <c r="P15" s="67" t="s">
        <v>95</v>
      </c>
      <c r="Q15" s="69"/>
    </row>
    <row r="16" spans="2:19" x14ac:dyDescent="0.25">
      <c r="B16" s="59"/>
      <c r="C16" s="62"/>
      <c r="D16" s="70"/>
      <c r="E16" s="72"/>
      <c r="F16" s="92"/>
      <c r="G16" s="92"/>
      <c r="H16" s="62"/>
      <c r="I16" s="62"/>
      <c r="J16" s="62"/>
      <c r="K16" s="73"/>
      <c r="L16" s="75"/>
      <c r="M16" s="62"/>
      <c r="N16" s="73"/>
      <c r="O16" s="75"/>
      <c r="P16" s="73"/>
      <c r="Q16" s="75"/>
    </row>
    <row r="17" spans="2:17" x14ac:dyDescent="0.25">
      <c r="B17" s="60"/>
      <c r="C17" s="63"/>
      <c r="D17" s="73"/>
      <c r="E17" s="75"/>
      <c r="F17" s="92"/>
      <c r="G17" s="92"/>
      <c r="H17" s="63"/>
      <c r="I17" s="63"/>
      <c r="J17" s="63"/>
      <c r="K17" s="25" t="s">
        <v>96</v>
      </c>
      <c r="L17" s="25" t="s">
        <v>97</v>
      </c>
      <c r="M17" s="63"/>
      <c r="N17" s="25" t="s">
        <v>96</v>
      </c>
      <c r="O17" s="25" t="s">
        <v>97</v>
      </c>
      <c r="P17" s="25" t="s">
        <v>96</v>
      </c>
      <c r="Q17" s="25" t="s">
        <v>97</v>
      </c>
    </row>
    <row r="18" spans="2:17" x14ac:dyDescent="0.25">
      <c r="B18" s="26">
        <v>1</v>
      </c>
      <c r="C18" s="26"/>
      <c r="D18" s="76"/>
      <c r="E18" s="77"/>
      <c r="F18" s="90"/>
      <c r="G18" s="90"/>
      <c r="H18" s="26"/>
      <c r="I18" s="14" t="s">
        <v>32</v>
      </c>
      <c r="J18" s="26"/>
      <c r="K18" s="28"/>
      <c r="L18" s="29"/>
      <c r="M18" s="14" t="s">
        <v>35</v>
      </c>
      <c r="N18" s="28"/>
      <c r="O18" s="28"/>
      <c r="P18" s="28"/>
      <c r="Q18" s="31"/>
    </row>
    <row r="19" spans="2:17" x14ac:dyDescent="0.25">
      <c r="B19" s="26">
        <v>2</v>
      </c>
      <c r="C19" s="26"/>
      <c r="D19" s="76"/>
      <c r="E19" s="77"/>
      <c r="F19" s="90"/>
      <c r="G19" s="90"/>
      <c r="H19" s="26"/>
      <c r="I19" s="27"/>
      <c r="J19" s="26"/>
      <c r="K19" s="29"/>
      <c r="L19" s="29"/>
      <c r="M19" s="30"/>
      <c r="N19" s="28"/>
      <c r="O19" s="28"/>
      <c r="P19" s="28"/>
      <c r="Q19" s="31"/>
    </row>
    <row r="20" spans="2:17" x14ac:dyDescent="0.25">
      <c r="B20" s="26">
        <v>3</v>
      </c>
      <c r="C20" s="26"/>
      <c r="D20" s="76"/>
      <c r="E20" s="77"/>
      <c r="F20" s="90"/>
      <c r="G20" s="90"/>
      <c r="H20" s="26"/>
      <c r="I20" s="27"/>
      <c r="J20" s="26"/>
      <c r="K20" s="29"/>
      <c r="L20" s="29"/>
      <c r="M20" s="30"/>
      <c r="N20" s="28"/>
      <c r="O20" s="28"/>
      <c r="P20" s="28"/>
      <c r="Q20" s="31"/>
    </row>
    <row r="21" spans="2:17" x14ac:dyDescent="0.25"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spans="2:17" x14ac:dyDescent="0.25">
      <c r="B22" s="93" t="s">
        <v>98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20"/>
      <c r="O22" s="20"/>
      <c r="P22" s="20"/>
      <c r="Q22" s="20"/>
    </row>
    <row r="23" spans="2:17" x14ac:dyDescent="0.25">
      <c r="B23" s="58" t="s">
        <v>88</v>
      </c>
      <c r="C23" s="61" t="s">
        <v>89</v>
      </c>
      <c r="D23" s="49"/>
      <c r="E23" s="64" t="s">
        <v>99</v>
      </c>
      <c r="F23" s="61" t="s">
        <v>100</v>
      </c>
      <c r="G23" s="61" t="s">
        <v>101</v>
      </c>
      <c r="H23" s="67" t="s">
        <v>102</v>
      </c>
      <c r="I23" s="68"/>
      <c r="J23" s="69"/>
      <c r="K23" s="67" t="s">
        <v>103</v>
      </c>
      <c r="L23" s="69"/>
      <c r="M23" s="61" t="s">
        <v>104</v>
      </c>
      <c r="N23" s="20"/>
      <c r="O23" s="20"/>
      <c r="P23" s="120"/>
      <c r="Q23" s="20"/>
    </row>
    <row r="24" spans="2:17" ht="15" customHeight="1" x14ac:dyDescent="0.25">
      <c r="B24" s="59"/>
      <c r="C24" s="62"/>
      <c r="D24" s="50"/>
      <c r="E24" s="65"/>
      <c r="F24" s="62"/>
      <c r="G24" s="62"/>
      <c r="H24" s="70"/>
      <c r="I24" s="71"/>
      <c r="J24" s="72"/>
      <c r="K24" s="70"/>
      <c r="L24" s="72"/>
      <c r="M24" s="62"/>
      <c r="N24" s="20"/>
      <c r="O24" s="20"/>
      <c r="P24" s="120"/>
      <c r="Q24" s="20"/>
    </row>
    <row r="25" spans="2:17" x14ac:dyDescent="0.25">
      <c r="B25" s="60"/>
      <c r="C25" s="63"/>
      <c r="D25" s="51"/>
      <c r="E25" s="66"/>
      <c r="F25" s="63"/>
      <c r="G25" s="63"/>
      <c r="H25" s="73"/>
      <c r="I25" s="74"/>
      <c r="J25" s="75"/>
      <c r="K25" s="73"/>
      <c r="L25" s="75"/>
      <c r="M25" s="63"/>
      <c r="N25" s="20"/>
      <c r="O25" s="20"/>
      <c r="P25" s="20"/>
      <c r="Q25" s="20"/>
    </row>
    <row r="26" spans="2:17" x14ac:dyDescent="0.25">
      <c r="B26" s="32">
        <v>1</v>
      </c>
      <c r="C26" s="32"/>
      <c r="D26" s="32"/>
      <c r="E26" s="32"/>
      <c r="F26" s="32"/>
      <c r="G26" s="32"/>
      <c r="H26" s="94"/>
      <c r="I26" s="94"/>
      <c r="J26" s="94"/>
      <c r="K26" s="95"/>
      <c r="L26" s="95"/>
      <c r="M26" s="32"/>
      <c r="N26" s="20"/>
      <c r="O26" s="20"/>
      <c r="P26" s="20"/>
      <c r="Q26" s="20"/>
    </row>
    <row r="27" spans="2:17" x14ac:dyDescent="0.25">
      <c r="B27" s="32">
        <v>2</v>
      </c>
      <c r="C27" s="32"/>
      <c r="D27" s="32"/>
      <c r="E27" s="32"/>
      <c r="F27" s="32"/>
      <c r="G27" s="32"/>
      <c r="H27" s="96"/>
      <c r="I27" s="96"/>
      <c r="J27" s="96"/>
      <c r="K27" s="95"/>
      <c r="L27" s="95"/>
      <c r="M27" s="32"/>
      <c r="N27" s="20"/>
      <c r="O27" s="20"/>
      <c r="P27" s="20"/>
      <c r="Q27" s="20"/>
    </row>
    <row r="28" spans="2:17" x14ac:dyDescent="0.25">
      <c r="B28" s="32">
        <v>3</v>
      </c>
      <c r="C28" s="32"/>
      <c r="D28" s="32"/>
      <c r="E28" s="32"/>
      <c r="F28" s="32"/>
      <c r="G28" s="32"/>
      <c r="H28" s="96"/>
      <c r="I28" s="96"/>
      <c r="J28" s="96"/>
      <c r="K28" s="95"/>
      <c r="L28" s="95"/>
      <c r="M28" s="32"/>
      <c r="N28" s="20"/>
      <c r="O28" s="20"/>
      <c r="P28" s="20"/>
      <c r="Q28" s="20"/>
    </row>
    <row r="29" spans="2:17" x14ac:dyDescent="0.25">
      <c r="B29" s="20"/>
      <c r="C29" s="20"/>
      <c r="D29" s="20"/>
      <c r="E29" s="33"/>
      <c r="F29" s="20"/>
      <c r="G29" s="20"/>
      <c r="H29" s="20"/>
      <c r="J29" s="33"/>
      <c r="K29" s="20"/>
      <c r="L29" s="20"/>
      <c r="M29" s="20"/>
      <c r="N29" s="20"/>
      <c r="O29" s="20"/>
      <c r="P29" s="20"/>
      <c r="Q29" s="20"/>
    </row>
    <row r="30" spans="2:17" x14ac:dyDescent="0.25">
      <c r="B30" s="100" t="s">
        <v>105</v>
      </c>
      <c r="C30" s="100"/>
      <c r="D30" s="100"/>
      <c r="E30" s="100"/>
      <c r="F30" s="100"/>
      <c r="G30" s="34"/>
      <c r="H30" s="47" t="s">
        <v>106</v>
      </c>
      <c r="I30" s="48"/>
      <c r="J30" s="101" t="s">
        <v>107</v>
      </c>
      <c r="K30" s="101"/>
      <c r="L30" s="101"/>
      <c r="M30" s="101"/>
      <c r="N30" s="101"/>
      <c r="O30" s="101"/>
      <c r="P30" s="20"/>
      <c r="Q30" s="20"/>
    </row>
    <row r="31" spans="2:17" x14ac:dyDescent="0.25">
      <c r="B31" s="35" t="s">
        <v>108</v>
      </c>
      <c r="C31" s="36"/>
      <c r="D31" s="36"/>
      <c r="E31" s="102"/>
      <c r="F31" s="102"/>
      <c r="G31" s="20"/>
      <c r="H31" s="103" t="s">
        <v>109</v>
      </c>
      <c r="I31" s="104"/>
      <c r="J31" s="95"/>
      <c r="K31" s="95"/>
      <c r="L31" s="95"/>
      <c r="M31" s="95"/>
      <c r="N31" s="95"/>
      <c r="O31" s="95"/>
      <c r="P31" s="20"/>
      <c r="Q31" s="20"/>
    </row>
    <row r="32" spans="2:17" x14ac:dyDescent="0.25">
      <c r="B32" s="35" t="s">
        <v>110</v>
      </c>
      <c r="C32" s="36"/>
      <c r="D32" s="36"/>
      <c r="E32" s="95"/>
      <c r="F32" s="95"/>
      <c r="G32" s="20"/>
      <c r="H32" s="105" t="s">
        <v>111</v>
      </c>
      <c r="I32" s="106"/>
      <c r="J32" s="95"/>
      <c r="K32" s="95"/>
      <c r="L32" s="95"/>
      <c r="M32" s="95"/>
      <c r="N32" s="95"/>
      <c r="O32" s="95"/>
      <c r="P32" s="20"/>
      <c r="Q32" s="20"/>
    </row>
    <row r="33" spans="2:17" x14ac:dyDescent="0.25">
      <c r="B33" s="35" t="s">
        <v>112</v>
      </c>
      <c r="C33" s="36"/>
      <c r="D33" s="36"/>
      <c r="E33" s="32"/>
      <c r="F33" s="37" t="s">
        <v>113</v>
      </c>
      <c r="G33" s="20"/>
      <c r="H33" s="105" t="s">
        <v>114</v>
      </c>
      <c r="I33" s="106"/>
      <c r="J33" s="95"/>
      <c r="K33" s="95"/>
      <c r="L33" s="95"/>
      <c r="M33" s="95"/>
      <c r="N33" s="95"/>
      <c r="O33" s="95"/>
      <c r="P33" s="20"/>
      <c r="Q33" s="20"/>
    </row>
    <row r="34" spans="2:17" x14ac:dyDescent="0.25">
      <c r="B34" s="38" t="s">
        <v>115</v>
      </c>
      <c r="C34" s="39"/>
      <c r="D34" s="39"/>
      <c r="E34" s="32"/>
      <c r="F34" s="37" t="s">
        <v>113</v>
      </c>
      <c r="G34" s="20"/>
      <c r="H34" s="107" t="s">
        <v>116</v>
      </c>
      <c r="I34" s="108"/>
      <c r="J34" s="97"/>
      <c r="K34" s="97"/>
      <c r="L34" s="97"/>
      <c r="M34" s="97"/>
      <c r="N34" s="97"/>
      <c r="O34" s="97"/>
      <c r="P34" s="20"/>
      <c r="Q34" s="20"/>
    </row>
    <row r="35" spans="2:17" x14ac:dyDescent="0.25">
      <c r="B35" s="40"/>
      <c r="C35" s="40"/>
      <c r="D35" s="40"/>
      <c r="E35" s="40"/>
      <c r="F35" s="33"/>
      <c r="G35" s="20"/>
      <c r="H35" s="41"/>
      <c r="I35" s="21"/>
      <c r="J35" s="21"/>
      <c r="K35" s="21"/>
      <c r="L35" s="21"/>
      <c r="M35" s="21"/>
      <c r="N35" s="21"/>
      <c r="O35" s="21"/>
      <c r="P35" s="21"/>
      <c r="Q35" s="20"/>
    </row>
    <row r="36" spans="2:17" x14ac:dyDescent="0.2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spans="2:17" x14ac:dyDescent="0.25">
      <c r="B37" s="98" t="s">
        <v>117</v>
      </c>
      <c r="C37" s="98"/>
      <c r="D37" s="98"/>
      <c r="E37" s="98"/>
      <c r="F37" s="98"/>
      <c r="G37" s="98"/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spans="2:17" x14ac:dyDescent="0.25">
      <c r="B38" s="99" t="s">
        <v>118</v>
      </c>
      <c r="C38" s="99"/>
      <c r="D38" s="99"/>
      <c r="E38" s="99"/>
      <c r="F38" s="99"/>
      <c r="G38" s="99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spans="2:17" x14ac:dyDescent="0.25">
      <c r="B39" s="99"/>
      <c r="C39" s="99"/>
      <c r="D39" s="99"/>
      <c r="E39" s="99"/>
      <c r="F39" s="99"/>
      <c r="G39" s="99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spans="2:17" x14ac:dyDescent="0.25">
      <c r="B40" s="99"/>
      <c r="C40" s="99"/>
      <c r="D40" s="99"/>
      <c r="E40" s="99"/>
      <c r="F40" s="99"/>
      <c r="G40" s="99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2:17" x14ac:dyDescent="0.25">
      <c r="B41" s="99"/>
      <c r="C41" s="99"/>
      <c r="D41" s="99"/>
      <c r="E41" s="99"/>
      <c r="F41" s="99"/>
      <c r="G41" s="99"/>
      <c r="H41" s="42"/>
      <c r="I41" s="20"/>
      <c r="J41" s="20"/>
      <c r="K41" s="20"/>
      <c r="L41" s="20"/>
      <c r="M41" s="20"/>
      <c r="N41" s="20"/>
      <c r="O41" s="20"/>
      <c r="P41" s="20"/>
      <c r="Q41" s="20"/>
    </row>
    <row r="42" spans="2:17" x14ac:dyDescent="0.25">
      <c r="B42" s="99"/>
      <c r="C42" s="99"/>
      <c r="D42" s="99"/>
      <c r="E42" s="99"/>
      <c r="F42" s="99"/>
      <c r="G42" s="99"/>
      <c r="H42" s="20"/>
      <c r="I42" s="43" t="s">
        <v>119</v>
      </c>
      <c r="J42" s="20"/>
      <c r="K42" s="20" t="s">
        <v>120</v>
      </c>
      <c r="L42" s="33"/>
      <c r="M42" s="20"/>
      <c r="N42" s="20"/>
      <c r="O42" s="20"/>
      <c r="P42" s="20"/>
      <c r="Q42" s="20"/>
    </row>
    <row r="43" spans="2:17" x14ac:dyDescent="0.25">
      <c r="B43" s="20"/>
      <c r="C43" s="33"/>
      <c r="D43" s="33"/>
      <c r="E43" s="20"/>
      <c r="F43" s="20"/>
      <c r="G43" s="20"/>
      <c r="H43" s="20"/>
      <c r="I43" s="20"/>
      <c r="J43" s="20"/>
      <c r="K43" s="20" t="s">
        <v>121</v>
      </c>
      <c r="L43" s="33"/>
      <c r="M43" s="20"/>
      <c r="N43" s="20"/>
      <c r="O43" s="20"/>
      <c r="P43" s="20"/>
      <c r="Q43" s="20"/>
    </row>
    <row r="44" spans="2:17" x14ac:dyDescent="0.25">
      <c r="B44" s="20"/>
      <c r="C44" s="20"/>
      <c r="D44" s="20"/>
      <c r="E44" s="20"/>
      <c r="F44" s="20"/>
      <c r="G44" s="20"/>
      <c r="H44" s="20"/>
      <c r="I44" s="33"/>
      <c r="J44" s="20"/>
      <c r="K44" s="20"/>
      <c r="L44" s="20"/>
      <c r="M44" s="20"/>
      <c r="N44" s="20"/>
      <c r="O44" s="20"/>
      <c r="P44" s="20"/>
      <c r="Q44" s="20"/>
    </row>
  </sheetData>
  <mergeCells count="74">
    <mergeCell ref="K11:N11"/>
    <mergeCell ref="Q8:S8"/>
    <mergeCell ref="Q9:S9"/>
    <mergeCell ref="Q10:S10"/>
    <mergeCell ref="Q11:S11"/>
    <mergeCell ref="K8:N8"/>
    <mergeCell ref="K9:N9"/>
    <mergeCell ref="K10:N10"/>
    <mergeCell ref="J34:O34"/>
    <mergeCell ref="B37:G37"/>
    <mergeCell ref="B38:G42"/>
    <mergeCell ref="B30:F30"/>
    <mergeCell ref="J30:O30"/>
    <mergeCell ref="E31:F31"/>
    <mergeCell ref="J31:O31"/>
    <mergeCell ref="E32:F32"/>
    <mergeCell ref="J32:O32"/>
    <mergeCell ref="H31:I31"/>
    <mergeCell ref="H32:I32"/>
    <mergeCell ref="H33:I33"/>
    <mergeCell ref="H34:I34"/>
    <mergeCell ref="H27:J27"/>
    <mergeCell ref="K27:L27"/>
    <mergeCell ref="H28:J28"/>
    <mergeCell ref="K28:L28"/>
    <mergeCell ref="J33:O33"/>
    <mergeCell ref="B22:M22"/>
    <mergeCell ref="K23:L25"/>
    <mergeCell ref="M23:M25"/>
    <mergeCell ref="H26:J26"/>
    <mergeCell ref="K26:L26"/>
    <mergeCell ref="M15:M17"/>
    <mergeCell ref="N15:O16"/>
    <mergeCell ref="P15:Q16"/>
    <mergeCell ref="F18:G18"/>
    <mergeCell ref="F20:G20"/>
    <mergeCell ref="F15:G17"/>
    <mergeCell ref="H15:H17"/>
    <mergeCell ref="I15:I17"/>
    <mergeCell ref="J15:J17"/>
    <mergeCell ref="K15:L16"/>
    <mergeCell ref="B9:C9"/>
    <mergeCell ref="B10:C10"/>
    <mergeCell ref="B11:C11"/>
    <mergeCell ref="B12:C12"/>
    <mergeCell ref="I8:J8"/>
    <mergeCell ref="I9:J9"/>
    <mergeCell ref="I11:J11"/>
    <mergeCell ref="I10:J10"/>
    <mergeCell ref="D8:H8"/>
    <mergeCell ref="D9:H9"/>
    <mergeCell ref="D10:H10"/>
    <mergeCell ref="C3:G3"/>
    <mergeCell ref="K3:N3"/>
    <mergeCell ref="C4:G4"/>
    <mergeCell ref="K4:N4"/>
    <mergeCell ref="B8:C8"/>
    <mergeCell ref="B7:S7"/>
    <mergeCell ref="D11:H11"/>
    <mergeCell ref="D12:H12"/>
    <mergeCell ref="B23:B25"/>
    <mergeCell ref="C23:C25"/>
    <mergeCell ref="E23:E25"/>
    <mergeCell ref="F23:F25"/>
    <mergeCell ref="G23:G25"/>
    <mergeCell ref="H23:J25"/>
    <mergeCell ref="D15:E17"/>
    <mergeCell ref="D18:E18"/>
    <mergeCell ref="D19:E19"/>
    <mergeCell ref="D20:E20"/>
    <mergeCell ref="F19:G19"/>
    <mergeCell ref="B14:Q14"/>
    <mergeCell ref="B15:B17"/>
    <mergeCell ref="C15:C17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10" sqref="A1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2" x14ac:dyDescent="0.25">
      <c r="A1" s="11" t="s">
        <v>57</v>
      </c>
      <c r="B1" s="11" t="s">
        <v>58</v>
      </c>
    </row>
    <row r="2" spans="1:2" x14ac:dyDescent="0.25">
      <c r="A2" t="s">
        <v>23</v>
      </c>
      <c r="B2" t="s">
        <v>3</v>
      </c>
    </row>
    <row r="3" spans="1:2" x14ac:dyDescent="0.25">
      <c r="A3" t="s">
        <v>24</v>
      </c>
      <c r="B3" t="s">
        <v>4</v>
      </c>
    </row>
    <row r="4" spans="1:2" x14ac:dyDescent="0.25">
      <c r="A4" t="s">
        <v>25</v>
      </c>
      <c r="B4" t="s">
        <v>5</v>
      </c>
    </row>
    <row r="5" spans="1:2" x14ac:dyDescent="0.25">
      <c r="A5" t="s">
        <v>26</v>
      </c>
      <c r="B5" t="s">
        <v>6</v>
      </c>
    </row>
    <row r="6" spans="1:2" x14ac:dyDescent="0.25">
      <c r="A6" t="s">
        <v>29</v>
      </c>
      <c r="B6" t="s">
        <v>7</v>
      </c>
    </row>
    <row r="7" spans="1:2" x14ac:dyDescent="0.25">
      <c r="A7" t="s">
        <v>28</v>
      </c>
      <c r="B7" t="s">
        <v>8</v>
      </c>
    </row>
    <row r="8" spans="1:2" x14ac:dyDescent="0.25">
      <c r="A8" t="s">
        <v>27</v>
      </c>
      <c r="B8" t="s">
        <v>9</v>
      </c>
    </row>
    <row r="9" spans="1:2" x14ac:dyDescent="0.25">
      <c r="A9" t="s">
        <v>0</v>
      </c>
      <c r="B9" t="s">
        <v>1</v>
      </c>
    </row>
    <row r="10" spans="1:2" x14ac:dyDescent="0.25">
      <c r="A10" t="s">
        <v>71</v>
      </c>
      <c r="B10" t="s">
        <v>72</v>
      </c>
    </row>
    <row r="16" spans="1:2" x14ac:dyDescent="0.25">
      <c r="A16" s="11" t="s">
        <v>59</v>
      </c>
    </row>
    <row r="17" spans="1:21" x14ac:dyDescent="0.25">
      <c r="A17" s="17" t="s">
        <v>60</v>
      </c>
      <c r="B17" s="18" t="s">
        <v>61</v>
      </c>
      <c r="C17" s="12" t="s">
        <v>41</v>
      </c>
      <c r="D17" s="12" t="s">
        <v>42</v>
      </c>
      <c r="E17" s="12" t="s">
        <v>44</v>
      </c>
      <c r="F17" s="12" t="s">
        <v>46</v>
      </c>
      <c r="G17" s="12" t="s">
        <v>47</v>
      </c>
      <c r="H17" s="12" t="s">
        <v>50</v>
      </c>
      <c r="I17" s="12" t="s">
        <v>52</v>
      </c>
      <c r="J17" s="12" t="s">
        <v>54</v>
      </c>
      <c r="K17" s="12" t="s">
        <v>56</v>
      </c>
      <c r="L17" s="12" t="s">
        <v>12</v>
      </c>
      <c r="M17" s="12" t="s">
        <v>17</v>
      </c>
      <c r="N17" s="12" t="s">
        <v>18</v>
      </c>
      <c r="O17" s="12" t="s">
        <v>20</v>
      </c>
      <c r="P17" s="12" t="s">
        <v>62</v>
      </c>
      <c r="Q17" s="12" t="s">
        <v>63</v>
      </c>
      <c r="R17" s="12" t="s">
        <v>64</v>
      </c>
      <c r="S17" s="12" t="s">
        <v>66</v>
      </c>
      <c r="T17" s="12" t="s">
        <v>68</v>
      </c>
      <c r="U17" s="12" t="s">
        <v>70</v>
      </c>
    </row>
    <row r="18" spans="1:21" x14ac:dyDescent="0.25">
      <c r="A18" s="13" t="s">
        <v>31</v>
      </c>
      <c r="B18" s="14" t="s">
        <v>30</v>
      </c>
      <c r="C18" t="s">
        <v>39</v>
      </c>
      <c r="D18" t="s">
        <v>40</v>
      </c>
      <c r="E18" s="19" t="s">
        <v>43</v>
      </c>
      <c r="F18" t="s">
        <v>45</v>
      </c>
      <c r="G18" s="19" t="s">
        <v>48</v>
      </c>
      <c r="H18" s="19" t="s">
        <v>49</v>
      </c>
      <c r="I18" s="19" t="s">
        <v>51</v>
      </c>
      <c r="J18" t="s">
        <v>53</v>
      </c>
      <c r="K18" t="s">
        <v>55</v>
      </c>
      <c r="L18" t="s">
        <v>32</v>
      </c>
      <c r="M18" t="s">
        <v>33</v>
      </c>
      <c r="N18" t="s">
        <v>34</v>
      </c>
      <c r="O18" t="s">
        <v>35</v>
      </c>
      <c r="P18" t="s">
        <v>74</v>
      </c>
      <c r="Q18" t="e">
        <f>IF(D18&gt;0,IF(D18="Unit",CONCATENATE(Settings!P18," ",Settings!D18,"s"),CONCATENATE((Settings!P18/Settings!L18)," ",Settings!D18,"s")),"")</f>
        <v>#VALUE!</v>
      </c>
      <c r="R18" t="s">
        <v>65</v>
      </c>
      <c r="S18" t="s">
        <v>67</v>
      </c>
      <c r="T18" t="s">
        <v>73</v>
      </c>
      <c r="U18" t="s">
        <v>69</v>
      </c>
    </row>
    <row r="19" spans="1:21" x14ac:dyDescent="0.25">
      <c r="A19" s="13"/>
      <c r="B19" s="14"/>
      <c r="E19" s="19"/>
      <c r="G19" s="19"/>
      <c r="H19" s="19"/>
      <c r="I19" s="1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13"/>
      <c r="B20" s="14"/>
      <c r="E20" s="19"/>
      <c r="G20" s="19"/>
      <c r="H20" s="19"/>
      <c r="I20" s="1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13"/>
      <c r="B21" s="14"/>
      <c r="E21" s="19"/>
      <c r="G21" s="19"/>
      <c r="H21" s="19"/>
      <c r="I21" s="1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13"/>
      <c r="B22" s="14"/>
      <c r="E22" s="19"/>
      <c r="G22" s="19"/>
      <c r="H22" s="19"/>
      <c r="I22" s="1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13"/>
      <c r="B23" s="14"/>
      <c r="E23" s="19"/>
      <c r="G23" s="19"/>
      <c r="H23" s="19"/>
      <c r="I23" s="1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13"/>
      <c r="B24" s="14"/>
      <c r="E24" s="19"/>
      <c r="G24" s="19"/>
      <c r="H24" s="19"/>
      <c r="I24" s="1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13"/>
      <c r="B25" s="14"/>
      <c r="E25" s="19"/>
      <c r="G25" s="19"/>
      <c r="H25" s="19"/>
      <c r="I25" s="1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13"/>
      <c r="B26" s="14"/>
      <c r="E26" s="19"/>
      <c r="G26" s="19"/>
      <c r="H26" s="19"/>
      <c r="I26" s="1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13"/>
      <c r="B27" s="14"/>
      <c r="E27" s="19"/>
      <c r="G27" s="19"/>
      <c r="H27" s="19"/>
      <c r="I27" s="1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13"/>
      <c r="B28" s="14"/>
      <c r="E28" s="19"/>
      <c r="G28" s="19"/>
      <c r="H28" s="19"/>
      <c r="I28" s="1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13"/>
      <c r="B29" s="14"/>
      <c r="E29" s="19"/>
      <c r="G29" s="19"/>
      <c r="H29" s="19"/>
      <c r="I29" s="1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13"/>
      <c r="B30" s="14"/>
      <c r="E30" s="19"/>
      <c r="G30" s="19"/>
      <c r="H30" s="19"/>
      <c r="I30" s="1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13"/>
      <c r="B31" s="14"/>
      <c r="E31" s="19"/>
      <c r="G31" s="19"/>
      <c r="H31" s="19"/>
      <c r="I31" s="1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13"/>
      <c r="B32" s="14"/>
      <c r="E32" s="19"/>
      <c r="G32" s="19"/>
      <c r="H32" s="19"/>
      <c r="I32" s="1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13"/>
      <c r="B33" s="14"/>
      <c r="E33" s="19"/>
      <c r="G33" s="19"/>
      <c r="H33" s="19"/>
      <c r="I33" s="1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13"/>
      <c r="B34" s="14"/>
      <c r="E34" s="19"/>
      <c r="G34" s="19"/>
      <c r="H34" s="19"/>
      <c r="I34" s="1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13"/>
      <c r="B35" s="14"/>
      <c r="E35" s="19"/>
      <c r="G35" s="19"/>
      <c r="H35" s="19"/>
      <c r="I35" s="1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13"/>
      <c r="B36" s="14"/>
      <c r="E36" s="19"/>
      <c r="G36" s="19"/>
      <c r="H36" s="19"/>
      <c r="I36" s="1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13"/>
      <c r="B37" s="14"/>
      <c r="E37" s="19"/>
      <c r="G37" s="19"/>
      <c r="H37" s="19"/>
      <c r="I37" s="1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13"/>
      <c r="B38" s="14"/>
      <c r="E38" s="19"/>
      <c r="G38" s="19"/>
      <c r="H38" s="19"/>
      <c r="I38" s="1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13"/>
      <c r="B39" s="14"/>
      <c r="E39" s="19"/>
      <c r="G39" s="19"/>
      <c r="H39" s="19"/>
      <c r="I39" s="1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13"/>
      <c r="B40" s="14"/>
      <c r="E40" s="19"/>
      <c r="G40" s="19"/>
      <c r="H40" s="19"/>
      <c r="I40" s="1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13"/>
      <c r="B41" s="14"/>
      <c r="E41" s="19"/>
      <c r="G41" s="19"/>
      <c r="H41" s="19"/>
      <c r="I41" s="1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13"/>
      <c r="B42" s="14"/>
      <c r="E42" s="19"/>
      <c r="G42" s="19"/>
      <c r="H42" s="19"/>
      <c r="I42" s="1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13"/>
      <c r="B43" s="14"/>
      <c r="E43" s="19"/>
      <c r="G43" s="19"/>
      <c r="H43" s="19"/>
      <c r="I43" s="1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13"/>
      <c r="B44" s="14"/>
      <c r="E44" s="19"/>
      <c r="G44" s="19"/>
      <c r="H44" s="19"/>
      <c r="I44" s="1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13"/>
      <c r="B45" s="14"/>
      <c r="E45" s="19"/>
      <c r="G45" s="19"/>
      <c r="H45" s="19"/>
      <c r="I45" s="1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13"/>
      <c r="B46" s="14"/>
      <c r="E46" s="19"/>
      <c r="G46" s="19"/>
      <c r="H46" s="19"/>
      <c r="I46" s="1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13"/>
      <c r="B47" s="14"/>
      <c r="E47" s="19"/>
      <c r="G47" s="19"/>
      <c r="H47" s="19"/>
      <c r="I47" s="1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13"/>
      <c r="B48" s="14"/>
      <c r="E48" s="19"/>
      <c r="G48" s="19"/>
      <c r="H48" s="19"/>
      <c r="I48" s="1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13"/>
      <c r="B49" s="14"/>
      <c r="E49" s="19"/>
      <c r="G49" s="19"/>
      <c r="H49" s="19"/>
      <c r="I49" s="1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13"/>
      <c r="B50" s="14"/>
      <c r="E50" s="19"/>
      <c r="G50" s="19"/>
      <c r="H50" s="19"/>
      <c r="I50" s="1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13"/>
      <c r="B51" s="14"/>
      <c r="E51" s="19"/>
      <c r="G51" s="19"/>
      <c r="H51" s="19"/>
      <c r="I51" s="1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15"/>
      <c r="B52" s="16"/>
      <c r="E52" s="19"/>
      <c r="G52" s="19"/>
      <c r="H52" s="19"/>
      <c r="I52" s="1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Quotation_old</vt:lpstr>
      <vt:lpstr>Quotation</vt:lpstr>
      <vt:lpstr>Settings</vt:lpstr>
      <vt:lpstr>Quotation_old!Print_Area</vt:lpstr>
      <vt:lpstr>Quotation_old!Print_Titles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2023-10-03T05:26:55Z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