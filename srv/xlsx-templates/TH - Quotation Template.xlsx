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2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HMHV\Desktop\"/>
    </mc:Choice>
  </mc:AlternateContent>
  <xr:revisionPtr revIDLastSave="0" documentId="13_ncr:1_{39D27F4C-C330-492F-913A-E6D9D59EA0CE}" xr6:coauthVersionLast="47" xr6:coauthVersionMax="47" xr10:uidLastSave="{00000000-0000-0000-0000-000000000000}"/>
  <bookViews>
    <workbookView xWindow="-120" yWindow="-120" windowWidth="18975" windowHeight="9195" xr2:uid="{F5CC2154-27BB-4652-B61E-D913F0CC6809}"/>
  </bookViews>
  <sheets>
    <sheet name="Quotation" sheetId="3" r:id="rId1"/>
    <sheet name="Setting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0" i="2" l="1"/>
  <c r="D11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10" i="3" l="1"/>
</calcChain>
</file>

<file path=xl/sharedStrings.xml><?xml version="1.0" encoding="utf-8"?>
<sst xmlns="http://schemas.openxmlformats.org/spreadsheetml/2006/main" count="175" uniqueCount="131">
  <si>
    <t>Offered Party</t>
  </si>
  <si>
    <t>${offerValidation.DISTRIBUTORNAME}</t>
  </si>
  <si>
    <t>Selling Company</t>
  </si>
  <si>
    <t>${offerValidation.SELLINGCOMPANY}</t>
  </si>
  <si>
    <t>Address</t>
  </si>
  <si>
    <t>${offerValidation.DISTRIBUTORADDRESS}</t>
  </si>
  <si>
    <t>130/1 North Sathon Road, Silom, Bangrak, Bangkok 10500</t>
  </si>
  <si>
    <t>Quotation Request Information</t>
  </si>
  <si>
    <t>FAST Request ID</t>
  </si>
  <si>
    <t xml:space="preserve">${offerValidation.TENDERID}		</t>
  </si>
  <si>
    <t>Material Group</t>
  </si>
  <si>
    <t>0100</t>
  </si>
  <si>
    <t>Requestor Name</t>
  </si>
  <si>
    <t>Customer ID</t>
  </si>
  <si>
    <t>Offer Approval Date</t>
  </si>
  <si>
    <t>${offerValidation.OFFERDATE}</t>
  </si>
  <si>
    <t>Contact Information</t>
  </si>
  <si>
    <t>Customer Name</t>
  </si>
  <si>
    <t>Offer Validity</t>
  </si>
  <si>
    <t>${offerValidation.OFFERVALIDITY}</t>
  </si>
  <si>
    <t>Bayer Representative</t>
  </si>
  <si>
    <t>Shipment Terms</t>
  </si>
  <si>
    <t>${offerValidation.SHIPMENTTERMS}</t>
  </si>
  <si>
    <t>Payment Terms</t>
  </si>
  <si>
    <t>${offerValidation.PAYMENTTERMS}</t>
  </si>
  <si>
    <t>Delivery Terms</t>
  </si>
  <si>
    <t>${offerValidation.DELIVERYTERMS}</t>
  </si>
  <si>
    <t>Price Quotation</t>
  </si>
  <si>
    <t>No.</t>
  </si>
  <si>
    <t>Material Code</t>
  </si>
  <si>
    <t>Product Name</t>
  </si>
  <si>
    <t>Product Generic Name</t>
  </si>
  <si>
    <t xml:space="preserve">Offer QTY 
</t>
  </si>
  <si>
    <t>UOM</t>
  </si>
  <si>
    <t>Pack Factor</t>
  </si>
  <si>
    <t>Unit Dosage</t>
  </si>
  <si>
    <t>MSP</t>
  </si>
  <si>
    <t>Total Offer Value</t>
  </si>
  <si>
    <t>excl. vat.</t>
  </si>
  <si>
    <t>incl. vat.</t>
  </si>
  <si>
    <t>${table:offerProductValidation.SORTER}</t>
  </si>
  <si>
    <t>${table:offerProductValidation.SKU}</t>
  </si>
  <si>
    <t>${table:offerProductValidation.PRODUCTNAME}</t>
  </si>
  <si>
    <t>${table:offerProductValidation.PRODUCTGENERICNAME}</t>
  </si>
  <si>
    <t>${table:offerProductValidation.PAID_VOLUME}</t>
  </si>
  <si>
    <t>${table:offerProductValidation.UNIT}</t>
  </si>
  <si>
    <t>${table:offerProductValidation.PACKSIZE}</t>
  </si>
  <si>
    <t>${table:offerProductValidation.PRESENTATION}</t>
  </si>
  <si>
    <t>${table:offerProductValidation.OFFER_PRICE}</t>
  </si>
  <si>
    <t>${table:offerProductValidation.OFFER_PRICE_VAT}</t>
  </si>
  <si>
    <t>${table:offerProductValidation.GROSS_SALES_OFFER_CURRENCY}</t>
  </si>
  <si>
    <t>${table:offerProductValidation.GROSS_SALES_OFFER_CURRENCY_VAT}</t>
  </si>
  <si>
    <t>Total</t>
  </si>
  <si>
    <t>${offerValidation.AMOUNT_IN_NUMBERS}</t>
  </si>
  <si>
    <t>${offerValidation.AMOUNT_IN_NUMBERS_VAT}</t>
  </si>
  <si>
    <t>Product Offer Information</t>
  </si>
  <si>
    <t>Offer Pack Description</t>
  </si>
  <si>
    <t>THCC 
(24 Digit Code)</t>
  </si>
  <si>
    <t>GPU</t>
  </si>
  <si>
    <t>TPU</t>
  </si>
  <si>
    <t>Manufacturer</t>
  </si>
  <si>
    <t>Country of Origin</t>
  </si>
  <si>
    <t>${table:offerProductValidation.PRESENTATION_2}</t>
  </si>
  <si>
    <t>${table:offerProductValidation.GOV_CODE}</t>
  </si>
  <si>
    <t>${table:offerProductValidation.CODE2}</t>
  </si>
  <si>
    <t>${table:offerProductValidation.CODE3}</t>
  </si>
  <si>
    <t>${table:offerProductValidation.MANUFACTURER}</t>
  </si>
  <si>
    <t>${table:offerProductValidation.COUNTRYOFORIGIN}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</si>
  <si>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</si>
  <si>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</si>
  <si>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</si>
  <si>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</si>
  <si>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</si>
  <si>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</si>
  <si>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</si>
  <si>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</si>
  <si>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</si>
  <si>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</si>
  <si>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</si>
  <si>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</si>
  <si>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</si>
  <si>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 xml:space="preserve">With reference to the above tender, you must not on-sell the above mentioned products at a price higher than those listed above. However, you are always free to sell at a price lower, at your discretion. </t>
  </si>
  <si>
    <t>Header fields</t>
  </si>
  <si>
    <t>Description</t>
  </si>
  <si>
    <t>${offerValidation.OFFERID}</t>
  </si>
  <si>
    <t>Contract Number</t>
  </si>
  <si>
    <t>${offerValidation.TENDERID}</t>
  </si>
  <si>
    <t>Tender Reference</t>
  </si>
  <si>
    <t>Offer Date</t>
  </si>
  <si>
    <t>${offerValidation.INSTITUTENAME}</t>
  </si>
  <si>
    <t>Offer Party</t>
  </si>
  <si>
    <t>${offerValidation.PROCUREMENT_REASON}</t>
  </si>
  <si>
    <t>Procurement reason</t>
  </si>
  <si>
    <t>${offerValidation.CUSTOMER_CODE}</t>
  </si>
  <si>
    <t>${offerValidation.PRODUCT_UNIT_NAME}</t>
  </si>
  <si>
    <t>ProductGenericname</t>
  </si>
  <si>
    <t>Product table fields</t>
  </si>
  <si>
    <t>SKU CODE</t>
  </si>
  <si>
    <t>Article name</t>
  </si>
  <si>
    <t>ProductGenericName</t>
  </si>
  <si>
    <t>PAID VOLUME</t>
  </si>
  <si>
    <t>UNIT</t>
  </si>
  <si>
    <t>OFFER PRICE</t>
  </si>
  <si>
    <t>CURRENCY</t>
  </si>
  <si>
    <t>OFFER_PRICE_VAT</t>
  </si>
  <si>
    <t>GROSS SALES OFFER CURRENCY</t>
  </si>
  <si>
    <t>GROSS_SALES_OFFER_CURRENCY_VAT</t>
  </si>
  <si>
    <t>OFFER_ID</t>
  </si>
  <si>
    <t>SORTER</t>
  </si>
  <si>
    <t>Samples</t>
  </si>
  <si>
    <t>Origin</t>
  </si>
  <si>
    <t>FOC</t>
  </si>
  <si>
    <t>Total Quantity Units</t>
  </si>
  <si>
    <t>Total QTY</t>
  </si>
  <si>
    <t>Net Price</t>
  </si>
  <si>
    <t>Net Price Pack Vat</t>
  </si>
  <si>
    <t>Net Price Unit Vat</t>
  </si>
  <si>
    <t>Amount in numbers</t>
  </si>
  <si>
    <t>VAT total</t>
  </si>
  <si>
    <t>THCC</t>
  </si>
  <si>
    <t>Amount in numbers vat</t>
  </si>
  <si>
    <t>${table:offerProductValidation.PRODUCT_UNIT_NAME}</t>
  </si>
  <si>
    <t>${table:offerProductValidation.CURRENCY}</t>
  </si>
  <si>
    <t>${table:offerProductValidation.OFFER_ID}</t>
  </si>
  <si>
    <t>${table:offerProductValidation.SAMPLES}</t>
  </si>
  <si>
    <t>${table:offerProductValidation.FOC}</t>
  </si>
  <si>
    <t>${table:offerProductValidation.TOTAL_QUANTITY_UNITS}</t>
  </si>
  <si>
    <t>${table:offerProductValidation.NET_PRICE}</t>
  </si>
  <si>
    <t>${table:offerProductValidation.NET_PRICE_VAT}</t>
  </si>
  <si>
    <t>${table:offerProductValidation.NET_PRICE_UNIT_OFFER_CURRENCY_VAT}</t>
  </si>
  <si>
    <t>${offerValidation.VAT_TOTAL}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</si>
</sst>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1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12" xfId="0" applyFont="1" applyBorder="1" applyAlignment="1">
      <alignment horizontal="center"/>
    </xf>
    <xf numFmtId="0" fontId="5" fillId="0" borderId="5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6" fillId="4" borderId="0" xfId="0" applyFont="1" applyFill="1" applyAlignment="1">
      <alignment vertical="center"/>
    </xf>
    <xf numFmtId="0" fontId="5" fillId="0" borderId="0" xfId="0" applyFont="1" applyAlignment="1">
      <alignment horizontal="left" wrapText="1"/>
    </xf>
    <xf numFmtId="0" fontId="6" fillId="4" borderId="0" xfId="0" applyFont="1" applyFill="1" applyAlignment="1">
      <alignment vertical="top"/>
    </xf>
    <xf numFmtId="0" fontId="5" fillId="0" borderId="0" xfId="0" applyFont="1" applyAlignment="1">
      <alignment horizontal="left" vertical="top" wrapText="1"/>
    </xf>
    <xf numFmtId="0" fontId="12" fillId="0" borderId="5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6" fillId="3" borderId="5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/>
    </xf>
    <xf numFmtId="49" fontId="5" fillId="0" borderId="5" xfId="0" applyNumberFormat="1" applyFont="1" applyBorder="1" applyAlignment="1">
      <alignment horizontal="center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5" fillId="0" borderId="6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7" fillId="5" borderId="5" xfId="0" applyFont="1" applyFill="1" applyBorder="1" applyAlignment="1">
      <alignment horizontal="center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5" fillId="3" borderId="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7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43" fontId="6" fillId="0" borderId="5" xfId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84664</xdr:colOff>
      <xdr:row>1</xdr:row>
      <xdr:rowOff>127002</xdr:rowOff>
    </xdr:from>
    <xdr:to>
      <xdr:col>13</xdr:col>
      <xdr:colOff>1761209</xdr:colOff>
      <xdr:row>6</xdr:row>
      <xdr:rowOff>40209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83585C-F918-4907-9D83-46C1E575D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48664" y="317502"/>
          <a:ext cx="1676545" cy="8657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795618</xdr:colOff>
      <xdr:row>1</xdr:row>
      <xdr:rowOff>91480</xdr:rowOff>
    </xdr:from>
    <xdr:to>
      <xdr:col>2</xdr:col>
      <xdr:colOff>2360104</xdr:colOff>
      <xdr:row>5</xdr:row>
      <xdr:rowOff>137324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AD1D86-3FE1-41D2-992B-BEE7B11BE8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48500" y="281980"/>
          <a:ext cx="1564486" cy="80784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3"/>
  <sheetViews>
    <sheetView tabSelected="1" topLeftCell="G1" zoomScale="90" zoomScaleNormal="90" workbookViewId="0">
      <selection activeCell="Q7" sqref="Q7"/>
    </sheetView>
  </sheetViews>
  <sheetFormatPr defaultRowHeight="1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0.42578125" customWidth="1"/>
    <col min="8" max="8" width="15.8554687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</cols>
  <sheetData>
    <row r="2" spans="2:14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>
      <c r="B3" s="26" t="s">
        <v>0</v>
      </c>
      <c r="C3" s="83" t="s">
        <v>1</v>
      </c>
      <c r="D3" s="84"/>
      <c r="E3" s="84"/>
      <c r="F3" s="84"/>
      <c r="G3" s="85"/>
      <c r="H3" s="10"/>
      <c r="I3" s="26" t="s">
        <v>2</v>
      </c>
      <c r="J3" s="83" t="s">
        <v>3</v>
      </c>
      <c r="K3" s="84"/>
      <c r="L3" s="84"/>
      <c r="M3" s="85"/>
      <c r="N3" s="10"/>
    </row>
    <row r="4" spans="2:14" ht="15" customHeight="1">
      <c r="B4" s="27" t="s">
        <v>4</v>
      </c>
      <c r="C4" s="74" t="s">
        <v>5</v>
      </c>
      <c r="D4" s="86"/>
      <c r="E4" s="86"/>
      <c r="F4" s="86"/>
      <c r="G4" s="75"/>
      <c r="H4" s="10"/>
      <c r="I4" s="26" t="s">
        <v>4</v>
      </c>
      <c r="J4" s="92" t="s">
        <v>6</v>
      </c>
      <c r="K4" s="93"/>
      <c r="L4" s="93"/>
      <c r="M4" s="94"/>
      <c r="N4" s="10"/>
    </row>
    <row r="5" spans="2:14" ht="15" customHeight="1">
      <c r="B5" s="46"/>
      <c r="C5" s="47"/>
      <c r="D5" s="47"/>
      <c r="E5" s="47"/>
      <c r="F5" s="47"/>
      <c r="G5" s="47"/>
      <c r="H5" s="10"/>
      <c r="I5" s="48"/>
      <c r="J5" s="49"/>
      <c r="K5" s="49"/>
      <c r="L5" s="49"/>
      <c r="M5" s="49"/>
      <c r="N5" s="10"/>
    </row>
    <row r="6" spans="2:14" ht="15" customHeight="1">
      <c r="B6" s="46"/>
      <c r="C6" s="47"/>
      <c r="D6" s="47"/>
      <c r="E6" s="47"/>
      <c r="F6" s="47"/>
      <c r="G6" s="47"/>
      <c r="H6" s="10"/>
      <c r="I6" s="48"/>
      <c r="J6" s="49"/>
      <c r="K6" s="49"/>
      <c r="L6" s="49"/>
      <c r="M6" s="49"/>
      <c r="N6" s="10"/>
    </row>
    <row r="7" spans="2:14"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2:14">
      <c r="B8" s="87" t="s">
        <v>7</v>
      </c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9"/>
    </row>
    <row r="9" spans="2:14">
      <c r="B9" s="95" t="s">
        <v>8</v>
      </c>
      <c r="C9" s="96"/>
      <c r="D9" s="72" t="s">
        <v>9</v>
      </c>
      <c r="E9" s="72"/>
      <c r="F9" s="40"/>
      <c r="G9" s="42" t="s">
        <v>10</v>
      </c>
      <c r="H9" s="42"/>
      <c r="I9" s="68" t="s">
        <v>11</v>
      </c>
      <c r="J9" s="68"/>
      <c r="K9" s="69"/>
      <c r="L9" s="90" t="s">
        <v>12</v>
      </c>
      <c r="M9" s="91"/>
      <c r="N9" s="43"/>
    </row>
    <row r="10" spans="2:14" ht="26.25" customHeight="1">
      <c r="B10" s="97" t="s">
        <v>13</v>
      </c>
      <c r="C10" s="98"/>
      <c r="D10" s="73" t="str">
        <f>Settings!A14</f>
        <v>${offerValidation.CUSTOMER_CODE}</v>
      </c>
      <c r="E10" s="73"/>
      <c r="F10" s="40"/>
      <c r="G10" s="76" t="s">
        <v>14</v>
      </c>
      <c r="H10" s="76"/>
      <c r="I10" s="70" t="s">
        <v>15</v>
      </c>
      <c r="J10" s="70"/>
      <c r="K10" s="71"/>
      <c r="L10" s="79" t="s">
        <v>16</v>
      </c>
      <c r="M10" s="80"/>
      <c r="N10" s="38"/>
    </row>
    <row r="11" spans="2:14" ht="26.25" customHeight="1">
      <c r="B11" s="97" t="s">
        <v>17</v>
      </c>
      <c r="C11" s="98"/>
      <c r="D11" s="74" t="str">
        <f>Settings!A9</f>
        <v>${offerValidation.INSTITUTENAME}</v>
      </c>
      <c r="E11" s="75"/>
      <c r="F11" s="40"/>
      <c r="G11" s="77" t="s">
        <v>18</v>
      </c>
      <c r="H11" s="77"/>
      <c r="I11" s="70" t="s">
        <v>19</v>
      </c>
      <c r="J11" s="70"/>
      <c r="K11" s="71"/>
      <c r="L11" s="79" t="s">
        <v>20</v>
      </c>
      <c r="M11" s="80"/>
      <c r="N11" s="38"/>
    </row>
    <row r="12" spans="2:14">
      <c r="B12" s="97" t="s">
        <v>21</v>
      </c>
      <c r="C12" s="98"/>
      <c r="D12" s="51" t="s">
        <v>22</v>
      </c>
      <c r="E12" s="53"/>
      <c r="F12" s="10"/>
      <c r="G12" s="82" t="s">
        <v>23</v>
      </c>
      <c r="H12" s="82"/>
      <c r="I12" s="99" t="s">
        <v>24</v>
      </c>
      <c r="J12" s="99"/>
      <c r="K12" s="100"/>
      <c r="L12" s="79" t="s">
        <v>16</v>
      </c>
      <c r="M12" s="80"/>
      <c r="N12" s="38"/>
    </row>
    <row r="13" spans="2:14">
      <c r="B13" s="97" t="s">
        <v>25</v>
      </c>
      <c r="C13" s="98"/>
      <c r="D13" s="51" t="s">
        <v>26</v>
      </c>
      <c r="E13" s="53"/>
      <c r="F13" s="10"/>
      <c r="G13" s="10"/>
      <c r="H13" s="10"/>
      <c r="I13" s="10"/>
      <c r="J13" s="10"/>
      <c r="K13" s="10"/>
      <c r="L13" s="10"/>
      <c r="M13" s="10"/>
      <c r="N13" s="10"/>
    </row>
    <row r="14" spans="2:14"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2:14">
      <c r="B15" s="78" t="s">
        <v>27</v>
      </c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</row>
    <row r="16" spans="2:14">
      <c r="B16" s="66" t="s">
        <v>28</v>
      </c>
      <c r="C16" s="54" t="s">
        <v>29</v>
      </c>
      <c r="D16" s="54" t="s">
        <v>30</v>
      </c>
      <c r="E16" s="54" t="s">
        <v>31</v>
      </c>
      <c r="F16" s="54" t="s">
        <v>32</v>
      </c>
      <c r="G16" s="54" t="s">
        <v>33</v>
      </c>
      <c r="H16" s="101" t="s">
        <v>34</v>
      </c>
      <c r="I16" s="54" t="s">
        <v>35</v>
      </c>
      <c r="J16" s="54" t="s">
        <v>36</v>
      </c>
      <c r="K16" s="54"/>
      <c r="L16" s="54"/>
      <c r="M16" s="54" t="s">
        <v>37</v>
      </c>
      <c r="N16" s="54"/>
    </row>
    <row r="17" spans="2:15">
      <c r="B17" s="66"/>
      <c r="C17" s="54"/>
      <c r="D17" s="54"/>
      <c r="E17" s="54"/>
      <c r="F17" s="54"/>
      <c r="G17" s="54"/>
      <c r="H17" s="102"/>
      <c r="I17" s="54"/>
      <c r="J17" s="54"/>
      <c r="K17" s="54"/>
      <c r="L17" s="54"/>
      <c r="M17" s="54"/>
      <c r="N17" s="54"/>
    </row>
    <row r="18" spans="2:15" ht="25.5" customHeight="1">
      <c r="B18" s="66"/>
      <c r="C18" s="54"/>
      <c r="D18" s="54"/>
      <c r="E18" s="54"/>
      <c r="F18" s="54"/>
      <c r="G18" s="54"/>
      <c r="H18" s="103"/>
      <c r="I18" s="54"/>
      <c r="J18" s="11" t="s">
        <v>38</v>
      </c>
      <c r="K18" s="81" t="s">
        <v>39</v>
      </c>
      <c r="L18" s="81"/>
      <c r="M18" s="11" t="s">
        <v>38</v>
      </c>
      <c r="N18" s="11" t="s">
        <v>39</v>
      </c>
    </row>
    <row r="19" spans="2:15" ht="30">
      <c r="B19" s="25" t="s">
        <v>40</v>
      </c>
      <c r="C19" s="25" t="s">
        <v>41</v>
      </c>
      <c r="D19" s="39" t="s">
        <v>42</v>
      </c>
      <c r="E19" s="39" t="s">
        <v>43</v>
      </c>
      <c r="F19" s="37" t="s">
        <v>44</v>
      </c>
      <c r="G19" s="37" t="s">
        <v>45</v>
      </c>
      <c r="H19" s="37" t="s">
        <v>46</v>
      </c>
      <c r="I19" s="37" t="s">
        <v>47</v>
      </c>
      <c r="J19" s="37" t="s">
        <v>48</v>
      </c>
      <c r="K19" s="104" t="s">
        <v>49</v>
      </c>
      <c r="L19" s="104"/>
      <c r="M19" s="41" t="s">
        <v>50</v>
      </c>
      <c r="N19" s="41" t="s">
        <v>51</v>
      </c>
      <c r="O19" s="31"/>
    </row>
    <row r="20" spans="2:15">
      <c r="B20" s="12"/>
      <c r="C20" s="12"/>
      <c r="D20" s="12"/>
      <c r="E20" s="30"/>
      <c r="F20" s="12"/>
      <c r="G20" s="25"/>
      <c r="H20" s="13"/>
      <c r="I20" s="12"/>
      <c r="J20" s="15"/>
      <c r="K20" s="105"/>
      <c r="L20" s="105"/>
      <c r="M20" s="14"/>
      <c r="N20" s="36"/>
    </row>
    <row r="21" spans="2:15">
      <c r="B21" s="12"/>
      <c r="C21" s="12"/>
      <c r="D21" s="12"/>
      <c r="E21" s="30"/>
      <c r="F21" s="12"/>
      <c r="G21" s="25"/>
      <c r="H21" s="13"/>
      <c r="I21" s="12"/>
      <c r="J21" s="15"/>
      <c r="K21" s="111" t="s">
        <v>52</v>
      </c>
      <c r="L21" s="111"/>
      <c r="M21" s="37" t="s">
        <v>53</v>
      </c>
      <c r="N21" s="37" t="s">
        <v>54</v>
      </c>
    </row>
    <row r="22" spans="2:15"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2:15">
      <c r="B23" s="65" t="s">
        <v>55</v>
      </c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10"/>
    </row>
    <row r="24" spans="2:15">
      <c r="B24" s="66" t="s">
        <v>28</v>
      </c>
      <c r="C24" s="54" t="s">
        <v>29</v>
      </c>
      <c r="D24" s="54" t="s">
        <v>56</v>
      </c>
      <c r="E24" s="54" t="s">
        <v>57</v>
      </c>
      <c r="F24" s="54" t="s">
        <v>58</v>
      </c>
      <c r="G24" s="54" t="s">
        <v>59</v>
      </c>
      <c r="H24" s="54"/>
      <c r="I24" s="54"/>
      <c r="J24" s="54" t="s">
        <v>60</v>
      </c>
      <c r="K24" s="54"/>
      <c r="L24" s="54" t="s">
        <v>61</v>
      </c>
      <c r="M24" s="10"/>
    </row>
    <row r="25" spans="2:15">
      <c r="B25" s="6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10"/>
    </row>
    <row r="26" spans="2:15" ht="15" customHeight="1">
      <c r="B26" s="12" t="s">
        <v>40</v>
      </c>
      <c r="C26" s="37" t="s">
        <v>41</v>
      </c>
      <c r="D26" s="44" t="s">
        <v>62</v>
      </c>
      <c r="E26" s="38" t="s">
        <v>63</v>
      </c>
      <c r="F26" s="16" t="s">
        <v>64</v>
      </c>
      <c r="G26" s="61" t="s">
        <v>65</v>
      </c>
      <c r="H26" s="61"/>
      <c r="I26" s="61"/>
      <c r="J26" s="61" t="s">
        <v>66</v>
      </c>
      <c r="K26" s="61"/>
      <c r="L26" s="16" t="s">
        <v>67</v>
      </c>
      <c r="M26" s="10"/>
    </row>
    <row r="27" spans="2:15">
      <c r="B27" s="16"/>
      <c r="C27" s="16"/>
      <c r="D27" s="16"/>
      <c r="E27" s="16"/>
      <c r="F27" s="16"/>
      <c r="G27" s="106"/>
      <c r="H27" s="107"/>
      <c r="I27" s="108"/>
      <c r="J27" s="61"/>
      <c r="K27" s="61"/>
      <c r="L27" s="16"/>
      <c r="M27" s="10"/>
    </row>
    <row r="28" spans="2:15">
      <c r="B28" s="16"/>
      <c r="C28" s="16"/>
      <c r="D28" s="16"/>
      <c r="E28" s="16"/>
      <c r="F28" s="16"/>
      <c r="G28" s="67"/>
      <c r="H28" s="67"/>
      <c r="I28" s="67"/>
      <c r="J28" s="61"/>
      <c r="K28" s="61"/>
      <c r="L28" s="16"/>
      <c r="M28" s="10"/>
    </row>
    <row r="29" spans="2:15">
      <c r="B29" s="10"/>
      <c r="C29" s="10"/>
      <c r="D29" s="17"/>
      <c r="E29" s="10"/>
      <c r="F29" s="10"/>
      <c r="G29" s="10"/>
      <c r="H29" s="17"/>
      <c r="I29" s="10"/>
      <c r="J29" s="10"/>
      <c r="K29" s="10"/>
      <c r="L29" s="10"/>
      <c r="M29" s="10"/>
      <c r="N29" s="10"/>
    </row>
    <row r="30" spans="2:15" ht="15" customHeight="1">
      <c r="B30" s="64" t="s">
        <v>68</v>
      </c>
      <c r="C30" s="64"/>
      <c r="D30" s="64"/>
      <c r="E30" s="64"/>
      <c r="F30" s="18"/>
      <c r="G30" s="109" t="s">
        <v>69</v>
      </c>
      <c r="H30" s="110"/>
      <c r="I30" s="27" t="s">
        <v>70</v>
      </c>
      <c r="J30" s="27"/>
      <c r="K30" s="27"/>
      <c r="L30" s="27"/>
      <c r="M30" s="10"/>
      <c r="N30" s="10"/>
    </row>
    <row r="31" spans="2:15">
      <c r="B31" s="19" t="s">
        <v>71</v>
      </c>
      <c r="C31" s="20"/>
      <c r="D31" s="60"/>
      <c r="E31" s="60"/>
      <c r="F31" s="10"/>
      <c r="G31" s="62" t="s">
        <v>72</v>
      </c>
      <c r="H31" s="63"/>
      <c r="I31" s="51"/>
      <c r="J31" s="52"/>
      <c r="K31" s="52"/>
      <c r="L31" s="53"/>
      <c r="M31" s="10"/>
      <c r="N31" s="10"/>
    </row>
    <row r="32" spans="2:15">
      <c r="B32" s="19" t="s">
        <v>73</v>
      </c>
      <c r="C32" s="20"/>
      <c r="D32" s="61"/>
      <c r="E32" s="61"/>
      <c r="F32" s="10"/>
      <c r="G32" s="62" t="s">
        <v>74</v>
      </c>
      <c r="H32" s="63"/>
      <c r="I32" s="51"/>
      <c r="J32" s="52"/>
      <c r="K32" s="52"/>
      <c r="L32" s="53"/>
      <c r="M32" s="10"/>
      <c r="N32" s="10"/>
    </row>
    <row r="33" spans="2:14">
      <c r="B33" s="19" t="s">
        <v>75</v>
      </c>
      <c r="C33" s="20"/>
      <c r="D33" s="16"/>
      <c r="E33" s="21" t="s">
        <v>76</v>
      </c>
      <c r="F33" s="10"/>
      <c r="G33" s="62" t="s">
        <v>77</v>
      </c>
      <c r="H33" s="63"/>
      <c r="I33" s="51"/>
      <c r="J33" s="52"/>
      <c r="K33" s="52"/>
      <c r="L33" s="53"/>
      <c r="M33" s="10"/>
      <c r="N33" s="10"/>
    </row>
    <row r="34" spans="2:14">
      <c r="B34" s="22" t="s">
        <v>78</v>
      </c>
      <c r="C34" s="23"/>
      <c r="D34" s="16"/>
      <c r="E34" s="21" t="s">
        <v>76</v>
      </c>
      <c r="F34" s="10"/>
      <c r="G34" s="58" t="s">
        <v>79</v>
      </c>
      <c r="H34" s="59"/>
      <c r="I34" s="83"/>
      <c r="J34" s="84"/>
      <c r="K34" s="84"/>
      <c r="L34" s="85"/>
    </row>
    <row r="35" spans="2:14"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>
      <c r="B36" s="55" t="s">
        <v>80</v>
      </c>
      <c r="C36" s="56"/>
      <c r="D36" s="56"/>
      <c r="E36" s="56"/>
      <c r="F36" s="57"/>
      <c r="G36" s="29"/>
      <c r="H36" s="29"/>
      <c r="I36" s="29"/>
      <c r="J36" s="29"/>
    </row>
    <row r="37" spans="2:14" ht="15" customHeight="1">
      <c r="B37" s="50" t="s">
        <v>81</v>
      </c>
      <c r="C37" s="50"/>
      <c r="D37" s="50"/>
      <c r="E37" s="50"/>
      <c r="F37" s="50"/>
      <c r="G37" s="29"/>
      <c r="H37" s="29"/>
      <c r="I37" s="29"/>
      <c r="J37" s="29"/>
    </row>
    <row r="38" spans="2:14">
      <c r="B38" s="50"/>
      <c r="C38" s="50"/>
      <c r="D38" s="50"/>
      <c r="E38" s="50"/>
      <c r="F38" s="50"/>
      <c r="G38" s="29"/>
      <c r="H38" s="29"/>
      <c r="I38" s="29"/>
      <c r="J38" s="29"/>
    </row>
    <row r="39" spans="2:14">
      <c r="B39" s="50"/>
      <c r="C39" s="50"/>
      <c r="D39" s="50"/>
      <c r="E39" s="50"/>
      <c r="F39" s="50"/>
      <c r="G39" s="29"/>
      <c r="H39" s="29"/>
      <c r="I39" s="29"/>
      <c r="J39" s="29"/>
    </row>
    <row r="40" spans="2:14">
      <c r="B40" s="50"/>
      <c r="C40" s="50"/>
      <c r="D40" s="50"/>
      <c r="E40" s="50"/>
      <c r="F40" s="50"/>
      <c r="G40" s="29"/>
      <c r="H40" s="29"/>
      <c r="I40" s="29"/>
      <c r="J40" s="29"/>
    </row>
    <row r="41" spans="2:14">
      <c r="B41" s="50"/>
      <c r="C41" s="50"/>
      <c r="D41" s="50"/>
      <c r="E41" s="50"/>
      <c r="F41" s="50"/>
      <c r="G41" s="29"/>
      <c r="H41" s="29"/>
      <c r="I41" s="29"/>
      <c r="J41" s="29"/>
    </row>
    <row r="42" spans="2:14">
      <c r="B42" s="29"/>
      <c r="C42" s="29"/>
      <c r="D42" s="29"/>
      <c r="E42" s="29"/>
      <c r="F42" s="29"/>
      <c r="G42" s="29"/>
      <c r="H42" s="10"/>
      <c r="I42" s="10"/>
      <c r="J42" s="10"/>
    </row>
    <row r="43" spans="2:14">
      <c r="B43" s="29"/>
      <c r="C43" s="29"/>
      <c r="D43" s="29"/>
      <c r="E43" s="29"/>
      <c r="F43" s="29"/>
      <c r="G43" s="29"/>
      <c r="H43" s="10"/>
      <c r="I43" s="10"/>
      <c r="J43" s="10"/>
    </row>
    <row r="44" spans="2:14">
      <c r="B44" s="29"/>
      <c r="C44" s="29"/>
      <c r="D44" s="29"/>
      <c r="E44" s="29"/>
      <c r="H44" s="10"/>
      <c r="I44" s="10"/>
      <c r="J44" s="10"/>
      <c r="K44" s="10"/>
    </row>
    <row r="45" spans="2:14">
      <c r="B45" s="29"/>
      <c r="C45" s="29"/>
      <c r="D45" s="29"/>
      <c r="E45" s="29"/>
      <c r="H45" s="10"/>
      <c r="I45" s="10"/>
      <c r="J45" s="10"/>
      <c r="K45" s="10"/>
    </row>
    <row r="46" spans="2:14">
      <c r="B46" s="29"/>
      <c r="C46" s="29"/>
      <c r="D46" s="29"/>
      <c r="E46" s="29"/>
      <c r="H46" s="24"/>
      <c r="I46" s="24"/>
      <c r="J46" s="24"/>
    </row>
    <row r="47" spans="2:14">
      <c r="B47" s="29"/>
      <c r="C47" s="29"/>
      <c r="D47" s="29"/>
      <c r="E47" s="29"/>
      <c r="H47" s="24"/>
      <c r="I47" s="24"/>
      <c r="J47" s="24"/>
    </row>
    <row r="48" spans="2:14">
      <c r="B48" s="29"/>
      <c r="C48" s="29"/>
      <c r="D48" s="29"/>
      <c r="E48" s="29"/>
      <c r="H48" s="24"/>
      <c r="I48" s="24"/>
      <c r="J48" s="24"/>
    </row>
    <row r="49" spans="2:10">
      <c r="B49" s="29"/>
      <c r="C49" s="29"/>
      <c r="D49" s="29"/>
      <c r="E49" s="29"/>
      <c r="H49" s="17"/>
      <c r="I49" s="10"/>
      <c r="J49" s="10"/>
    </row>
    <row r="50" spans="2:10">
      <c r="B50" s="29"/>
      <c r="C50" s="29"/>
      <c r="D50" s="29"/>
      <c r="E50" s="29"/>
      <c r="F50" s="29"/>
      <c r="G50" s="29"/>
    </row>
    <row r="51" spans="2:10">
      <c r="B51" s="29"/>
      <c r="C51" s="29"/>
      <c r="D51" s="29"/>
      <c r="E51" s="29"/>
      <c r="F51" s="29"/>
      <c r="G51" s="29"/>
    </row>
    <row r="53" spans="2:10">
      <c r="J53" s="45"/>
    </row>
  </sheetData>
  <mergeCells count="70">
    <mergeCell ref="L10:M10"/>
    <mergeCell ref="L11:M11"/>
    <mergeCell ref="H16:H18"/>
    <mergeCell ref="I34:L34"/>
    <mergeCell ref="I32:L32"/>
    <mergeCell ref="K19:L19"/>
    <mergeCell ref="K20:L20"/>
    <mergeCell ref="G27:I27"/>
    <mergeCell ref="J27:K27"/>
    <mergeCell ref="G30:H30"/>
    <mergeCell ref="K21:L21"/>
    <mergeCell ref="L24:L25"/>
    <mergeCell ref="G24:I25"/>
    <mergeCell ref="C3:G3"/>
    <mergeCell ref="C4:G4"/>
    <mergeCell ref="F16:F18"/>
    <mergeCell ref="B8:N8"/>
    <mergeCell ref="L9:M9"/>
    <mergeCell ref="E16:E18"/>
    <mergeCell ref="J3:M3"/>
    <mergeCell ref="J4:M4"/>
    <mergeCell ref="B9:C9"/>
    <mergeCell ref="B12:C12"/>
    <mergeCell ref="B16:B18"/>
    <mergeCell ref="B10:C10"/>
    <mergeCell ref="B11:C11"/>
    <mergeCell ref="B13:C13"/>
    <mergeCell ref="M16:N17"/>
    <mergeCell ref="I12:K12"/>
    <mergeCell ref="D12:E12"/>
    <mergeCell ref="D13:E13"/>
    <mergeCell ref="C16:C18"/>
    <mergeCell ref="B15:N15"/>
    <mergeCell ref="L12:M12"/>
    <mergeCell ref="K18:L18"/>
    <mergeCell ref="G12:H12"/>
    <mergeCell ref="I9:K9"/>
    <mergeCell ref="I10:K10"/>
    <mergeCell ref="I11:K11"/>
    <mergeCell ref="D9:E9"/>
    <mergeCell ref="D10:E10"/>
    <mergeCell ref="D11:E11"/>
    <mergeCell ref="G10:H10"/>
    <mergeCell ref="G11:H11"/>
    <mergeCell ref="B30:E30"/>
    <mergeCell ref="F24:F25"/>
    <mergeCell ref="D16:D18"/>
    <mergeCell ref="B23:L23"/>
    <mergeCell ref="B24:B25"/>
    <mergeCell ref="J24:K25"/>
    <mergeCell ref="G28:I28"/>
    <mergeCell ref="J28:K28"/>
    <mergeCell ref="G26:I26"/>
    <mergeCell ref="J26:K26"/>
    <mergeCell ref="B37:F41"/>
    <mergeCell ref="I33:L33"/>
    <mergeCell ref="G16:G18"/>
    <mergeCell ref="I16:I18"/>
    <mergeCell ref="J16:L17"/>
    <mergeCell ref="B36:F36"/>
    <mergeCell ref="G34:H34"/>
    <mergeCell ref="D31:E31"/>
    <mergeCell ref="D32:E32"/>
    <mergeCell ref="G33:H33"/>
    <mergeCell ref="G31:H31"/>
    <mergeCell ref="G32:H32"/>
    <mergeCell ref="C24:C25"/>
    <mergeCell ref="D24:D25"/>
    <mergeCell ref="E24:E25"/>
    <mergeCell ref="I31:L31"/>
  </mergeCells>
  <dataValidations count="2">
    <dataValidation type="list" allowBlank="1" showInputMessage="1" showErrorMessage="1" sqref="D27:D28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3:E34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zoomScale="85" zoomScaleNormal="85" workbookViewId="0">
      <selection activeCell="D5" sqref="D5"/>
    </sheetView>
  </sheetViews>
  <sheetFormatPr defaultRowHeight="1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>
      <c r="A1" s="1" t="s">
        <v>82</v>
      </c>
      <c r="B1" s="1" t="s">
        <v>83</v>
      </c>
      <c r="C1" s="33"/>
    </row>
    <row r="2" spans="1:3">
      <c r="A2" t="s">
        <v>84</v>
      </c>
      <c r="B2" t="s">
        <v>85</v>
      </c>
      <c r="C2" s="112"/>
    </row>
    <row r="3" spans="1:3">
      <c r="A3" t="s">
        <v>86</v>
      </c>
      <c r="B3" t="s">
        <v>87</v>
      </c>
      <c r="C3" s="113"/>
    </row>
    <row r="4" spans="1:3">
      <c r="A4" t="s">
        <v>15</v>
      </c>
      <c r="B4" t="s">
        <v>88</v>
      </c>
      <c r="C4" s="113"/>
    </row>
    <row r="5" spans="1:3">
      <c r="A5" t="s">
        <v>19</v>
      </c>
      <c r="B5" t="s">
        <v>18</v>
      </c>
      <c r="C5" s="113"/>
    </row>
    <row r="6" spans="1:3">
      <c r="A6" t="s">
        <v>22</v>
      </c>
      <c r="B6" t="s">
        <v>21</v>
      </c>
      <c r="C6" s="114"/>
    </row>
    <row r="7" spans="1:3">
      <c r="A7" t="s">
        <v>24</v>
      </c>
      <c r="B7" t="s">
        <v>23</v>
      </c>
    </row>
    <row r="8" spans="1:3">
      <c r="A8" t="s">
        <v>26</v>
      </c>
      <c r="B8" t="s">
        <v>25</v>
      </c>
    </row>
    <row r="9" spans="1:3">
      <c r="A9" t="s">
        <v>89</v>
      </c>
      <c r="B9" t="s">
        <v>90</v>
      </c>
    </row>
    <row r="10" spans="1:3">
      <c r="A10" t="s">
        <v>91</v>
      </c>
      <c r="B10" t="s">
        <v>92</v>
      </c>
    </row>
    <row r="11" spans="1:3">
      <c r="A11" t="s">
        <v>3</v>
      </c>
      <c r="B11" t="s">
        <v>2</v>
      </c>
    </row>
    <row r="12" spans="1:3">
      <c r="A12" t="s">
        <v>1</v>
      </c>
      <c r="B12" t="s">
        <v>0</v>
      </c>
    </row>
    <row r="13" spans="1:3">
      <c r="A13" t="s">
        <v>5</v>
      </c>
      <c r="B13" t="s">
        <v>4</v>
      </c>
    </row>
    <row r="14" spans="1:3">
      <c r="A14" t="s">
        <v>93</v>
      </c>
      <c r="B14" t="s">
        <v>13</v>
      </c>
    </row>
    <row r="15" spans="1:3">
      <c r="A15" t="s">
        <v>94</v>
      </c>
      <c r="B15" t="s">
        <v>95</v>
      </c>
    </row>
    <row r="17" spans="1:27">
      <c r="B17" s="32"/>
      <c r="C17" s="28"/>
    </row>
    <row r="18" spans="1:27">
      <c r="A18" s="1" t="s">
        <v>96</v>
      </c>
    </row>
    <row r="19" spans="1:27">
      <c r="A19" s="7" t="s">
        <v>97</v>
      </c>
      <c r="B19" s="8" t="s">
        <v>98</v>
      </c>
      <c r="C19" s="34" t="s">
        <v>99</v>
      </c>
      <c r="D19" s="2" t="s">
        <v>100</v>
      </c>
      <c r="E19" s="2" t="s">
        <v>101</v>
      </c>
      <c r="F19" s="2" t="s">
        <v>102</v>
      </c>
      <c r="G19" s="2" t="s">
        <v>103</v>
      </c>
      <c r="H19" s="2" t="s">
        <v>104</v>
      </c>
      <c r="I19" s="2" t="s">
        <v>105</v>
      </c>
      <c r="J19" s="2" t="s">
        <v>106</v>
      </c>
      <c r="K19" s="2" t="s">
        <v>107</v>
      </c>
      <c r="L19" s="2" t="s">
        <v>108</v>
      </c>
      <c r="M19" s="2" t="s">
        <v>34</v>
      </c>
      <c r="N19" s="2" t="s">
        <v>109</v>
      </c>
      <c r="O19" s="2" t="s">
        <v>110</v>
      </c>
      <c r="P19" s="2" t="s">
        <v>111</v>
      </c>
      <c r="Q19" s="2" t="s">
        <v>112</v>
      </c>
      <c r="R19" s="2" t="s">
        <v>113</v>
      </c>
      <c r="S19" s="2" t="s">
        <v>114</v>
      </c>
      <c r="T19" s="2" t="s">
        <v>115</v>
      </c>
      <c r="U19" s="2" t="s">
        <v>116</v>
      </c>
      <c r="V19" s="2" t="s">
        <v>117</v>
      </c>
      <c r="W19" s="2" t="s">
        <v>118</v>
      </c>
      <c r="X19" s="2" t="s">
        <v>58</v>
      </c>
      <c r="Y19" s="2" t="s">
        <v>119</v>
      </c>
      <c r="Z19" s="2" t="s">
        <v>59</v>
      </c>
      <c r="AA19" s="2" t="s">
        <v>120</v>
      </c>
    </row>
    <row r="20" spans="1:27">
      <c r="A20" s="3" t="s">
        <v>41</v>
      </c>
      <c r="B20" s="4" t="s">
        <v>121</v>
      </c>
      <c r="C20" s="25" t="s">
        <v>43</v>
      </c>
      <c r="D20" t="s">
        <v>44</v>
      </c>
      <c r="E20" t="s">
        <v>45</v>
      </c>
      <c r="F20" s="9" t="s">
        <v>48</v>
      </c>
      <c r="G20" t="s">
        <v>122</v>
      </c>
      <c r="H20" s="9" t="s">
        <v>49</v>
      </c>
      <c r="I20" s="9" t="s">
        <v>50</v>
      </c>
      <c r="J20" s="9" t="s">
        <v>51</v>
      </c>
      <c r="K20" t="s">
        <v>123</v>
      </c>
      <c r="L20" t="s">
        <v>40</v>
      </c>
      <c r="M20" t="s">
        <v>46</v>
      </c>
      <c r="N20" t="s">
        <v>124</v>
      </c>
      <c r="O20" t="s">
        <v>67</v>
      </c>
      <c r="P20" t="s">
        <v>125</v>
      </c>
      <c r="Q20" t="s">
        <v>126</v>
      </c>
      <c r="R20" t="e">
        <f>IF(E20&gt;0,IF(E20="Unit",CONCATENATE(Settings!Q20," ",Settings!E20,"s"),CONCATENATE((Settings!Q20/Settings!M20)," ",Settings!E20,"s")),"")</f>
        <v>#VALUE!</v>
      </c>
      <c r="S20" s="35" t="s">
        <v>127</v>
      </c>
      <c r="T20" s="35" t="s">
        <v>128</v>
      </c>
      <c r="U20" s="35" t="s">
        <v>129</v>
      </c>
      <c r="V20" t="s">
        <v>53</v>
      </c>
      <c r="W20" t="s">
        <v>130</v>
      </c>
      <c r="X20" t="s">
        <v>64</v>
      </c>
      <c r="Y20" t="s">
        <v>63</v>
      </c>
      <c r="Z20" t="s">
        <v>65</v>
      </c>
      <c r="AA20" t="s">
        <v>54</v>
      </c>
    </row>
    <row r="21" spans="1:27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sheetProtection sheet="1" objects="1" scenarios="1"/>
  <mergeCells count="1">
    <mergeCell ref="C2:C6"/>
  </mergeCells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00E6A9-20DD-4842-9306-307EB080AF2E}"/>
</file>

<file path=customXml/itemProps2.xml><?xml version="1.0" encoding="utf-8"?>
<ds:datastoreItem xmlns:ds="http://schemas.openxmlformats.org/officeDocument/2006/customXml" ds:itemID="{7EBE950A-5812-419E-B174-6A5D9B8E0414}"/>
</file>

<file path=customXml/itemProps3.xml><?xml version="1.0" encoding="utf-8"?>
<ds:datastoreItem xmlns:ds="http://schemas.openxmlformats.org/officeDocument/2006/customXml" ds:itemID="{8CF88A1C-AA0D-4F8F-A0FD-6F3FAFCA9DC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Lemaire Wouter</dc:creator>
  <cp:keywords/>
  <dc:description/>
  <cp:lastModifiedBy>Vasudevan Mariyappan</cp:lastModifiedBy>
  <cp:revision/>
  <dcterms:created xsi:type="dcterms:W3CDTF">2021-05-14T05:44:12Z</dcterms:created>
  <dcterms:modified xsi:type="dcterms:W3CDTF">2023-12-27T06:23:06Z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