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276" documentId="8_{DE39F225-2AE1-4446-AB5F-E204FEABCD0B}" xr6:coauthVersionLast="47" xr6:coauthVersionMax="47" xr10:uidLastSave="{38EBB158-6A26-4525-A2B7-A4618BC97DB9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3" l="1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D9" i="3" l="1"/>
</calcChain>
</file>

<file path=xl/sharedStrings.xml><?xml version="1.0" encoding="utf-8"?>
<sst xmlns="http://schemas.openxmlformats.org/spreadsheetml/2006/main" count="168" uniqueCount="126">
  <si>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</si>
  <si>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</si>
  <si>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</si>
  <si>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</si>
  <si>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</si>
  <si>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</si>
  <si>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</si>
  <si>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</si>
  <si>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</si>
  <si>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</si>
  <si>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</si>
  <si>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</si>
  <si>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</si>
  <si>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</si>
  <si>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NSP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</si>
  <si>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</si>
  <si>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</si>
  <si>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</si>
  <si>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</si>
  <si>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</si>
  <si>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</si>
  <si>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</si>
  <si>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</si>
  <si>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</si>
  <si>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</si>
  <si>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</si>
  <si>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</si>
  <si>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</si>
  <si>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</si>
  <si>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</si>
  <si>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</si>
  <si>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</si>
  <si>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</si>
  <si>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</si>
  <si>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</si>
  <si>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</si>
  <si>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</si>
  <si>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</si>
  <si>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</si>
  <si>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</si>
  <si>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</si>
  <si>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</si>
  <si>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</si>
  <si>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</si>
  <si>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</si>
  <si>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</si>
  <si>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</si>
  <si>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</si>
  <si>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</si>
  <si>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</si>
  <si>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</si>
  <si>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</si>
  <si>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</si>
  <si>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</si>
  <si>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</si>
  <si>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</si>
  <si>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</si>
  <si>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</si>
  <si>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</si>
  <si>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</si>
  <si>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</si>
  <si>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</si>
  <si>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</si>
  <si>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</si>
  <si>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</si>
  <si>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</si>
  <si>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</si>
  <si>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</si>
  <si>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</si>
  <si>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</si>
  <si>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</si>
  <si>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</si>
  <si>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</si>
  <si>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</si>
  <si>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</si>
  <si>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</si>
  <si>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</si>
  <si>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</si>
  <si>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</si>
  <si>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</si>
  <si>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</si>
  <si>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Unit Dosge</t>
  </si>
  <si>
    <t>FOC/
Discount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</si>
  <si>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</si>
  <si>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</si>
  <si>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</si>
  <si>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</si>
  <si>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</si>
  <si>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</si>
  <si>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</si>
  <si>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</si>
  <si>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</si>
  <si>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</si>
  <si>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</si>
  <si>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</si>
  <si>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</si>
  <si>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</si>
  <si>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</si>
  <si>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</si>
  <si>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</si>
  <si>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</si>
  <si>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</si>
  <si>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</si>
  <si>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</si>
  <si>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</si>
  <si>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</si>
  <si>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Approved by</t>
  </si>
  <si>
    <t>Name</t>
  </si>
  <si>
    <t>Position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</si>
  <si>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</si>
  <si>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</si>
  <si>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</si>
  <si>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</si>
  <si>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</si>
  <si>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</si>
  <si>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</si>
  <si>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${table:offerProductValidation.DOSAGE}</t>
  </si>
  <si>
    <t>${table:offerProductValidation.MANUFACTURER}</t>
  </si>
  <si>
    <t>${offerProductValidation.NET_PRICE_UNIT_OFFER_CURRENCY_VAT}</t>
  </si>
  <si>
    <t>${table:offerProductValidation.NET_PRICE_PACK_OFFER_CURRENCY_VAT}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</si>
  <si>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</si>
  <si>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</si>
  <si>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</si>
  <si>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</si>
  <si>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incl. vat.(Pack)</t>
  </si>
  <si>
    <t>incl. vat.(Unit)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</si>
</sst>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12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6" fillId="0" borderId="0" xfId="0" applyFont="1" applyAlignment="1">
      <alignment vertical="top"/>
    </xf>
    <xf numFmtId="0" fontId="5" fillId="0" borderId="0" xfId="0" applyFont="1" applyAlignment="1">
      <alignment horizontal="center" vertical="top" wrapText="1"/>
    </xf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9" fontId="5" fillId="0" borderId="5" xfId="2" applyFont="1" applyBorder="1"/>
    <xf numFmtId="43" fontId="6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9" fillId="0" borderId="0" xfId="0" applyFont="1"/>
    <xf numFmtId="0" fontId="5" fillId="0" borderId="0" xfId="0" applyFont="1" applyAlignment="1">
      <alignment horizont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6" xfId="0" applyBorder="1" applyAlignment="1">
      <alignment horizontal="center"/>
    </xf>
    <xf numFmtId="0" fontId="5" fillId="0" borderId="5" xfId="0" applyFont="1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43" fontId="5" fillId="0" borderId="5" xfId="1" applyFont="1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3" fontId="5" fillId="0" borderId="5" xfId="1" applyFont="1" applyBorder="1" applyAlignment="1"/>
    <xf numFmtId="43" fontId="5" fillId="0" borderId="5" xfId="1" applyFont="1" applyBorder="1" applyAlignment="1">
      <alignment horizontal="left"/>
    </xf>
    <xf numFmtId="43" fontId="5" fillId="0" borderId="5" xfId="1" applyFont="1" applyFill="1" applyBorder="1" applyAlignment="1"/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5" fillId="0" borderId="5" xfId="0" applyFont="1" applyBorder="1" applyAlignment="1">
      <alignment horizontal="left" wrapText="1"/>
    </xf>
    <xf numFmtId="0" fontId="6" fillId="4" borderId="5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6" xfId="0" applyFont="1" applyFill="1" applyBorder="1" applyAlignment="1">
      <alignment horizontal="center" vertical="center" wrapText="1"/>
    </xf>
    <xf numFmtId="0" fontId="6" fillId="3" borderId="17" xfId="0" applyFont="1" applyFill="1" applyBorder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0" fillId="0" borderId="6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6" fillId="3" borderId="6" xfId="0" applyFont="1" applyFill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10" fillId="3" borderId="6" xfId="0" applyFont="1" applyFill="1" applyBorder="1" applyAlignment="1">
      <alignment horizontal="left"/>
    </xf>
    <xf numFmtId="0" fontId="10" fillId="3" borderId="8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 vertical="top"/>
    </xf>
    <xf numFmtId="0" fontId="10" fillId="3" borderId="8" xfId="0" applyFont="1" applyFill="1" applyBorder="1" applyAlignment="1">
      <alignment horizontal="left" vertical="top"/>
    </xf>
    <xf numFmtId="0" fontId="7" fillId="4" borderId="5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left" vertical="top"/>
    </xf>
    <xf numFmtId="0" fontId="6" fillId="3" borderId="9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vertical="center" wrapText="1"/>
    </xf>
    <xf numFmtId="0" fontId="9" fillId="3" borderId="15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center" vertical="center" wrapText="1"/>
    </xf>
    <xf numFmtId="0" fontId="6" fillId="3" borderId="13" xfId="0" applyFont="1" applyFill="1" applyBorder="1" applyAlignment="1">
      <alignment horizontal="center" vertical="center" wrapText="1"/>
    </xf>
    <xf numFmtId="0" fontId="6" fillId="3" borderId="14" xfId="0" applyFont="1" applyFill="1" applyBorder="1" applyAlignment="1">
      <alignment horizontal="center" vertical="center" wrapText="1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7" fillId="4" borderId="5" xfId="0" applyFont="1" applyFill="1" applyBorder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/>
    </xf>
    <xf numFmtId="0" fontId="5" fillId="0" borderId="7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49" fontId="5" fillId="0" borderId="6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12" fillId="0" borderId="16" xfId="0" applyFont="1" applyBorder="1" applyAlignment="1">
      <alignment horizontal="left" vertical="top" wrapText="1"/>
    </xf>
    <xf numFmtId="0" fontId="12" fillId="0" borderId="0" xfId="0" applyFont="1" applyAlignment="1">
      <alignment horizontal="left" vertical="top" wrapText="1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49" fontId="5" fillId="0" borderId="5" xfId="0" applyNumberFormat="1" applyFont="1" applyBorder="1" applyAlignment="1">
      <alignment horizontal="center"/>
    </xf>
    <xf numFmtId="49" fontId="5" fillId="0" borderId="15" xfId="0" applyNumberFormat="1" applyFont="1" applyBorder="1" applyAlignment="1">
      <alignment horizontal="center"/>
    </xf>
    <xf numFmtId="49" fontId="5" fillId="0" borderId="6" xfId="0" applyNumberFormat="1" applyFont="1" applyBorder="1" applyAlignment="1">
      <alignment horizontal="center" vertical="top"/>
    </xf>
    <xf numFmtId="49" fontId="5" fillId="0" borderId="7" xfId="0" applyNumberFormat="1" applyFont="1" applyBorder="1" applyAlignment="1">
      <alignment horizontal="center" vertical="top"/>
    </xf>
    <xf numFmtId="49" fontId="5" fillId="0" borderId="8" xfId="0" applyNumberFormat="1" applyFont="1" applyBorder="1" applyAlignment="1">
      <alignment horizontal="center" vertical="top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3.xml"/><Relationship Id="rId4" Type="http://schemas.openxmlformats.org/officeDocument/2006/relationships/styles" Target="styles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482600</xdr:colOff>
      <xdr:row>1</xdr:row>
      <xdr:rowOff>101600</xdr:rowOff>
    </xdr:from>
    <xdr:to>
      <xdr:col>15</xdr:col>
      <xdr:colOff>309931</xdr:colOff>
      <xdr:row>4</xdr:row>
      <xdr:rowOff>100462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9850F2-A92E-4910-A645-FF78E9FA70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0050" y="101600"/>
          <a:ext cx="585098" cy="57036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C17:W52" totalsRowShown="0" headerRowDxfId="6">
  <autoFilter ref="C17:W52" xr:uid="{2EFFBCB4-83C9-46C5-9D10-EDD296E322D9}"/>
  <tableColumns count="21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IF(D18&gt;0,IF(D18="Unit",CONCATENATE(Settings!P18," ",Settings!D18,"s"),CONCATENATE((Settings!P18/Settings!L18)," ",Settings!D18,"s")),"")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5" totalsRowShown="0" headerRowDxfId="0">
  <autoFilter ref="A1:B15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S50"/>
  <sheetViews>
    <sheetView tabSelected="1" zoomScale="90" zoomScaleNormal="90" workbookViewId="0">
      <selection activeCell="N5" sqref="N5"/>
    </sheetView>
  </sheetViews>
  <sheetFormatPr defaultRowHeight="15" x14ac:dyDescent="0.25"/>
  <cols>
    <col min="2" max="2" width="12" customWidth="1"/>
    <col min="3" max="3" width="15.7109375" customWidth="1"/>
    <col min="4" max="4" width="27.5703125" customWidth="1"/>
    <col min="5" max="5" width="16.5703125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17.5703125" customWidth="1"/>
    <col min="11" max="11" width="13.5703125" customWidth="1"/>
    <col min="12" max="12" width="12.5703125" customWidth="1"/>
    <col min="13" max="13" width="17.5703125" customWidth="1"/>
    <col min="14" max="14" width="18.140625" customWidth="1"/>
    <col min="15" max="15" width="11.42578125" customWidth="1"/>
    <col min="16" max="16" width="15.28515625" customWidth="1"/>
    <col min="17" max="17" width="17.85546875" customWidth="1"/>
    <col min="18" max="18" width="18" customWidth="1"/>
  </cols>
  <sheetData>
    <row r="2" spans="2:17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</row>
    <row r="3" spans="2:17" x14ac:dyDescent="0.25">
      <c r="B3" s="35" t="s">
        <v>64</v>
      </c>
      <c r="C3" s="54" t="s">
        <v>109</v>
      </c>
      <c r="D3" s="55"/>
      <c r="E3" s="55"/>
      <c r="F3" s="55"/>
      <c r="G3" s="56"/>
      <c r="H3" s="10"/>
      <c r="I3" s="35" t="s">
        <v>65</v>
      </c>
      <c r="J3" s="54" t="s">
        <v>110</v>
      </c>
      <c r="K3" s="55"/>
      <c r="L3" s="55"/>
      <c r="M3" s="56"/>
      <c r="N3" s="10"/>
      <c r="O3" s="10"/>
      <c r="P3" s="10"/>
    </row>
    <row r="4" spans="2:17" ht="15" customHeight="1" x14ac:dyDescent="0.25">
      <c r="B4" s="61" t="s">
        <v>66</v>
      </c>
      <c r="C4" s="60" t="s">
        <v>111</v>
      </c>
      <c r="D4" s="60"/>
      <c r="E4" s="60"/>
      <c r="F4" s="60"/>
      <c r="G4" s="60"/>
      <c r="H4" s="10"/>
      <c r="I4" s="35" t="s">
        <v>66</v>
      </c>
      <c r="J4" s="57"/>
      <c r="K4" s="58"/>
      <c r="L4" s="58"/>
      <c r="M4" s="59"/>
      <c r="N4" s="10"/>
      <c r="O4" s="10"/>
      <c r="P4" s="10"/>
    </row>
    <row r="5" spans="2:17" x14ac:dyDescent="0.25">
      <c r="B5" s="61"/>
      <c r="C5" s="60"/>
      <c r="D5" s="60"/>
      <c r="E5" s="60"/>
      <c r="F5" s="60"/>
      <c r="G5" s="60"/>
      <c r="H5" s="10"/>
      <c r="I5" s="11"/>
      <c r="J5" s="12"/>
      <c r="K5" s="12"/>
      <c r="L5" s="12"/>
      <c r="M5" s="12"/>
      <c r="N5" s="10"/>
      <c r="O5" s="10"/>
      <c r="P5" s="10"/>
    </row>
    <row r="6" spans="2:17" x14ac:dyDescent="0.25">
      <c r="B6" s="10"/>
      <c r="C6" s="10"/>
      <c r="D6" s="10"/>
      <c r="E6" s="10"/>
      <c r="F6" s="10"/>
      <c r="G6" s="10"/>
      <c r="H6" s="10"/>
      <c r="I6" s="10"/>
      <c r="J6" s="10"/>
      <c r="K6" s="10"/>
      <c r="L6" s="10"/>
      <c r="M6" s="10"/>
      <c r="N6" s="10"/>
      <c r="O6" s="10"/>
      <c r="P6" s="10"/>
    </row>
    <row r="7" spans="2:17" x14ac:dyDescent="0.25">
      <c r="B7" s="112" t="s">
        <v>67</v>
      </c>
      <c r="C7" s="113"/>
      <c r="D7" s="113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4"/>
    </row>
    <row r="8" spans="2:17" ht="15" customHeight="1" x14ac:dyDescent="0.25">
      <c r="B8" s="74" t="s">
        <v>68</v>
      </c>
      <c r="C8" s="81"/>
      <c r="D8" s="117"/>
      <c r="E8" s="118"/>
      <c r="F8" s="119"/>
      <c r="G8" s="74" t="s">
        <v>69</v>
      </c>
      <c r="H8" s="75"/>
      <c r="I8" s="122"/>
      <c r="J8" s="123"/>
      <c r="K8" s="124"/>
      <c r="L8" s="104" t="s">
        <v>70</v>
      </c>
      <c r="M8" s="105"/>
      <c r="N8" s="69"/>
      <c r="O8" s="70"/>
      <c r="P8" s="29"/>
    </row>
    <row r="9" spans="2:17" ht="26.25" customHeight="1" x14ac:dyDescent="0.25">
      <c r="B9" s="74" t="s">
        <v>71</v>
      </c>
      <c r="C9" s="81"/>
      <c r="D9" s="117" t="str">
        <f>Settings!A14</f>
        <v>${offerValidation.CUSTOMER_CODE}</v>
      </c>
      <c r="E9" s="118"/>
      <c r="F9" s="119"/>
      <c r="G9" s="76" t="s">
        <v>72</v>
      </c>
      <c r="H9" s="77"/>
      <c r="I9" s="109" t="s">
        <v>17</v>
      </c>
      <c r="J9" s="110"/>
      <c r="K9" s="111"/>
      <c r="L9" s="104" t="s">
        <v>73</v>
      </c>
      <c r="M9" s="105"/>
      <c r="N9" s="69"/>
      <c r="O9" s="70"/>
      <c r="P9" s="29"/>
    </row>
    <row r="10" spans="2:17" ht="26.25" customHeight="1" x14ac:dyDescent="0.25">
      <c r="B10" s="74" t="s">
        <v>74</v>
      </c>
      <c r="C10" s="81"/>
      <c r="D10" s="117" t="str">
        <f>Settings!A9</f>
        <v>${offerValidation.INSTITUTENAME}</v>
      </c>
      <c r="E10" s="118"/>
      <c r="F10" s="119"/>
      <c r="G10" s="78" t="s">
        <v>5</v>
      </c>
      <c r="H10" s="79"/>
      <c r="I10" s="109" t="s">
        <v>18</v>
      </c>
      <c r="J10" s="110"/>
      <c r="K10" s="111"/>
      <c r="L10" s="104" t="s">
        <v>75</v>
      </c>
      <c r="M10" s="105"/>
      <c r="N10" s="69"/>
      <c r="O10" s="70"/>
      <c r="P10" s="29"/>
    </row>
    <row r="11" spans="2:17" x14ac:dyDescent="0.25">
      <c r="B11" s="74" t="s">
        <v>6</v>
      </c>
      <c r="C11" s="81"/>
      <c r="D11" s="106" t="s">
        <v>21</v>
      </c>
      <c r="E11" s="107"/>
      <c r="F11" s="108"/>
      <c r="G11" s="74" t="s">
        <v>7</v>
      </c>
      <c r="H11" s="75"/>
      <c r="I11" s="71" t="s">
        <v>20</v>
      </c>
      <c r="J11" s="72"/>
      <c r="K11" s="73"/>
      <c r="L11" s="104" t="s">
        <v>73</v>
      </c>
      <c r="M11" s="105"/>
      <c r="N11" s="69"/>
      <c r="O11" s="70"/>
      <c r="P11" s="29"/>
    </row>
    <row r="12" spans="2:17" x14ac:dyDescent="0.25">
      <c r="B12" s="74" t="s">
        <v>8</v>
      </c>
      <c r="C12" s="81"/>
      <c r="D12" s="106" t="s">
        <v>19</v>
      </c>
      <c r="E12" s="107"/>
      <c r="F12" s="108"/>
      <c r="G12" s="10"/>
      <c r="H12" s="10"/>
      <c r="I12" s="10"/>
      <c r="J12" s="10"/>
      <c r="K12" s="10"/>
      <c r="L12" s="10"/>
      <c r="M12" s="10"/>
      <c r="N12" s="10"/>
      <c r="O12" s="10"/>
    </row>
    <row r="13" spans="2:17" x14ac:dyDescent="0.25">
      <c r="B13" s="10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</row>
    <row r="14" spans="2:17" x14ac:dyDescent="0.25">
      <c r="B14" s="80" t="s">
        <v>76</v>
      </c>
      <c r="C14" s="80"/>
      <c r="D14" s="80"/>
      <c r="E14" s="80"/>
      <c r="F14" s="80"/>
      <c r="G14" s="80"/>
      <c r="H14" s="80"/>
      <c r="I14" s="80"/>
      <c r="J14" s="80"/>
      <c r="K14" s="80"/>
      <c r="L14" s="80"/>
      <c r="M14" s="80"/>
      <c r="N14" s="80"/>
      <c r="O14" s="80"/>
      <c r="P14" s="80"/>
      <c r="Q14" s="80"/>
    </row>
    <row r="15" spans="2:17" ht="15" customHeight="1" x14ac:dyDescent="0.25">
      <c r="B15" s="82" t="s">
        <v>77</v>
      </c>
      <c r="C15" s="62" t="s">
        <v>78</v>
      </c>
      <c r="D15" s="62" t="s">
        <v>79</v>
      </c>
      <c r="E15" s="62" t="s">
        <v>80</v>
      </c>
      <c r="F15" s="62" t="s">
        <v>115</v>
      </c>
      <c r="G15" s="62" t="s">
        <v>114</v>
      </c>
      <c r="H15" s="30" t="s">
        <v>9</v>
      </c>
      <c r="I15" s="62" t="s">
        <v>81</v>
      </c>
      <c r="J15" s="65" t="s">
        <v>10</v>
      </c>
      <c r="K15" s="89"/>
      <c r="L15" s="62" t="s">
        <v>82</v>
      </c>
      <c r="M15" s="65" t="s">
        <v>14</v>
      </c>
      <c r="N15" s="66"/>
      <c r="O15" s="66"/>
      <c r="P15" s="38" t="s">
        <v>83</v>
      </c>
      <c r="Q15" s="39"/>
    </row>
    <row r="16" spans="2:17" x14ac:dyDescent="0.25">
      <c r="B16" s="83"/>
      <c r="C16" s="63"/>
      <c r="D16" s="63"/>
      <c r="E16" s="63"/>
      <c r="F16" s="63"/>
      <c r="G16" s="63"/>
      <c r="H16" s="32"/>
      <c r="I16" s="63"/>
      <c r="J16" s="90"/>
      <c r="K16" s="91"/>
      <c r="L16" s="63"/>
      <c r="M16" s="67"/>
      <c r="N16" s="68"/>
      <c r="O16" s="68"/>
      <c r="P16" s="40"/>
      <c r="Q16" s="41"/>
    </row>
    <row r="17" spans="2:19" ht="25.5" x14ac:dyDescent="0.25">
      <c r="B17" s="84"/>
      <c r="C17" s="64"/>
      <c r="D17" s="64"/>
      <c r="E17" s="64"/>
      <c r="F17" s="64"/>
      <c r="G17" s="64"/>
      <c r="H17" s="31"/>
      <c r="I17" s="64"/>
      <c r="J17" s="13" t="s">
        <v>84</v>
      </c>
      <c r="K17" s="13" t="s">
        <v>85</v>
      </c>
      <c r="L17" s="64"/>
      <c r="M17" s="13" t="s">
        <v>84</v>
      </c>
      <c r="N17" s="13" t="s">
        <v>125</v>
      </c>
      <c r="O17" s="13" t="s">
        <v>124</v>
      </c>
      <c r="P17" s="13" t="s">
        <v>84</v>
      </c>
      <c r="Q17" s="13" t="s">
        <v>85</v>
      </c>
    </row>
    <row r="18" spans="2:19" ht="25.5" x14ac:dyDescent="0.25">
      <c r="B18" s="15" t="s">
        <v>44</v>
      </c>
      <c r="C18" s="15" t="s">
        <v>23</v>
      </c>
      <c r="D18" s="45" t="s">
        <v>113</v>
      </c>
      <c r="E18" s="43"/>
      <c r="F18" s="15" t="s">
        <v>28</v>
      </c>
      <c r="G18" s="47" t="s">
        <v>29</v>
      </c>
      <c r="H18" s="48" t="s">
        <v>24</v>
      </c>
      <c r="I18" s="15" t="s">
        <v>116</v>
      </c>
      <c r="J18" s="49" t="s">
        <v>32</v>
      </c>
      <c r="K18" s="50" t="s">
        <v>37</v>
      </c>
      <c r="L18" s="48" t="s">
        <v>27</v>
      </c>
      <c r="M18" s="49" t="s">
        <v>54</v>
      </c>
      <c r="N18" s="51" t="s">
        <v>120</v>
      </c>
      <c r="O18" s="33" t="s">
        <v>119</v>
      </c>
      <c r="P18" s="52" t="s">
        <v>56</v>
      </c>
      <c r="Q18" s="53" t="s">
        <v>58</v>
      </c>
      <c r="R18" s="46"/>
      <c r="S18" s="46"/>
    </row>
    <row r="19" spans="2:19" x14ac:dyDescent="0.25">
      <c r="B19" s="14"/>
      <c r="C19" s="14"/>
      <c r="D19" s="14"/>
      <c r="E19" s="43"/>
      <c r="F19" s="14"/>
      <c r="G19" s="33"/>
      <c r="H19" s="15"/>
      <c r="I19" s="14"/>
      <c r="J19" s="17"/>
      <c r="K19" s="17"/>
      <c r="L19" s="18"/>
      <c r="M19" s="16"/>
      <c r="N19" s="16"/>
      <c r="O19" s="33"/>
      <c r="P19" s="16"/>
      <c r="Q19" s="19"/>
    </row>
    <row r="20" spans="2:19" x14ac:dyDescent="0.25">
      <c r="B20" s="14"/>
      <c r="C20" s="14"/>
      <c r="D20" s="14"/>
      <c r="E20" s="43"/>
      <c r="F20" s="14"/>
      <c r="G20" s="33"/>
      <c r="H20" s="15"/>
      <c r="I20" s="14"/>
      <c r="J20" s="17"/>
      <c r="K20" s="17"/>
      <c r="L20" s="18"/>
      <c r="M20" s="16"/>
      <c r="N20" s="16"/>
      <c r="O20" s="33"/>
      <c r="P20" s="16"/>
      <c r="Q20" s="19"/>
    </row>
    <row r="21" spans="2:19" x14ac:dyDescent="0.25">
      <c r="B21" s="10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0"/>
    </row>
    <row r="22" spans="2:19" x14ac:dyDescent="0.25">
      <c r="B22" s="80" t="s">
        <v>86</v>
      </c>
      <c r="C22" s="80"/>
      <c r="D22" s="80"/>
      <c r="E22" s="80"/>
      <c r="F22" s="80"/>
      <c r="G22" s="80"/>
      <c r="H22" s="80"/>
      <c r="I22" s="80"/>
      <c r="J22" s="80"/>
      <c r="K22" s="80"/>
      <c r="L22" s="80"/>
      <c r="M22" s="10"/>
    </row>
    <row r="23" spans="2:19" x14ac:dyDescent="0.25">
      <c r="B23" s="85" t="s">
        <v>77</v>
      </c>
      <c r="C23" s="62" t="s">
        <v>78</v>
      </c>
      <c r="D23" s="86" t="s">
        <v>87</v>
      </c>
      <c r="E23" s="62" t="s">
        <v>88</v>
      </c>
      <c r="F23" s="62" t="s">
        <v>89</v>
      </c>
      <c r="G23" s="88" t="s">
        <v>90</v>
      </c>
      <c r="H23" s="88"/>
      <c r="I23" s="88"/>
      <c r="J23" s="88" t="s">
        <v>91</v>
      </c>
      <c r="K23" s="88"/>
      <c r="L23" s="88" t="s">
        <v>92</v>
      </c>
      <c r="M23" s="10"/>
    </row>
    <row r="24" spans="2:19" x14ac:dyDescent="0.25">
      <c r="B24" s="85"/>
      <c r="C24" s="64"/>
      <c r="D24" s="87"/>
      <c r="E24" s="64"/>
      <c r="F24" s="64"/>
      <c r="G24" s="88"/>
      <c r="H24" s="88"/>
      <c r="I24" s="88"/>
      <c r="J24" s="88"/>
      <c r="K24" s="88"/>
      <c r="L24" s="88"/>
      <c r="M24" s="10"/>
    </row>
    <row r="25" spans="2:19" x14ac:dyDescent="0.25">
      <c r="B25" s="14" t="s">
        <v>44</v>
      </c>
      <c r="C25" s="44" t="s">
        <v>23</v>
      </c>
      <c r="D25" s="34"/>
      <c r="E25" s="20"/>
      <c r="F25" s="20"/>
      <c r="G25" s="121"/>
      <c r="H25" s="121"/>
      <c r="I25" s="121"/>
      <c r="J25" s="69" t="s">
        <v>117</v>
      </c>
      <c r="K25" s="70"/>
      <c r="L25" s="20" t="s">
        <v>26</v>
      </c>
      <c r="M25" s="10"/>
    </row>
    <row r="26" spans="2:19" x14ac:dyDescent="0.25">
      <c r="B26" s="20"/>
      <c r="C26" s="20"/>
      <c r="D26" s="20"/>
      <c r="E26" s="20"/>
      <c r="F26" s="20"/>
      <c r="G26" s="120"/>
      <c r="H26" s="120"/>
      <c r="I26" s="120"/>
      <c r="J26" s="101"/>
      <c r="K26" s="101"/>
      <c r="L26" s="20"/>
      <c r="M26" s="10"/>
    </row>
    <row r="27" spans="2:19" x14ac:dyDescent="0.25">
      <c r="B27" s="20"/>
      <c r="C27" s="20"/>
      <c r="D27" s="20"/>
      <c r="E27" s="20"/>
      <c r="F27" s="20"/>
      <c r="G27" s="120"/>
      <c r="H27" s="120"/>
      <c r="I27" s="120"/>
      <c r="J27" s="101"/>
      <c r="K27" s="101"/>
      <c r="L27" s="20"/>
      <c r="M27" s="10"/>
    </row>
    <row r="28" spans="2:19" x14ac:dyDescent="0.25">
      <c r="B28" s="10"/>
      <c r="C28" s="10"/>
      <c r="D28" s="21"/>
      <c r="E28" s="10"/>
      <c r="F28" s="10"/>
      <c r="G28" s="10"/>
      <c r="H28" s="21"/>
      <c r="I28" s="10"/>
      <c r="J28" s="10"/>
      <c r="K28" s="10"/>
      <c r="L28" s="10"/>
      <c r="M28" s="10"/>
      <c r="N28" s="10"/>
      <c r="O28" s="10"/>
      <c r="P28" s="10"/>
    </row>
    <row r="29" spans="2:19" ht="15" customHeight="1" x14ac:dyDescent="0.25">
      <c r="B29" s="97" t="s">
        <v>93</v>
      </c>
      <c r="C29" s="97"/>
      <c r="D29" s="97"/>
      <c r="E29" s="97"/>
      <c r="F29" s="22"/>
      <c r="G29" s="98" t="s">
        <v>94</v>
      </c>
      <c r="H29" s="99"/>
      <c r="I29" s="36" t="s">
        <v>95</v>
      </c>
      <c r="J29" s="36"/>
      <c r="K29" s="36"/>
      <c r="L29" s="36"/>
      <c r="M29" s="10"/>
      <c r="N29" s="10"/>
    </row>
    <row r="30" spans="2:19" x14ac:dyDescent="0.25">
      <c r="B30" s="23" t="s">
        <v>96</v>
      </c>
      <c r="C30" s="24"/>
      <c r="D30" s="100"/>
      <c r="E30" s="100"/>
      <c r="F30" s="10"/>
      <c r="G30" s="102" t="s">
        <v>97</v>
      </c>
      <c r="H30" s="103"/>
      <c r="I30" s="106"/>
      <c r="J30" s="107"/>
      <c r="K30" s="107"/>
      <c r="L30" s="108"/>
      <c r="M30" s="10"/>
      <c r="N30" s="10"/>
    </row>
    <row r="31" spans="2:19" x14ac:dyDescent="0.25">
      <c r="B31" s="23" t="s">
        <v>98</v>
      </c>
      <c r="C31" s="24"/>
      <c r="D31" s="101"/>
      <c r="E31" s="101"/>
      <c r="F31" s="10"/>
      <c r="G31" s="102" t="s">
        <v>99</v>
      </c>
      <c r="H31" s="103"/>
      <c r="I31" s="106"/>
      <c r="J31" s="107"/>
      <c r="K31" s="107"/>
      <c r="L31" s="108"/>
      <c r="M31" s="10"/>
      <c r="N31" s="10"/>
    </row>
    <row r="32" spans="2:19" x14ac:dyDescent="0.25">
      <c r="B32" s="23" t="s">
        <v>100</v>
      </c>
      <c r="C32" s="24"/>
      <c r="D32" s="20"/>
      <c r="E32" s="25" t="s">
        <v>101</v>
      </c>
      <c r="F32" s="10"/>
      <c r="G32" s="102" t="s">
        <v>102</v>
      </c>
      <c r="H32" s="103"/>
      <c r="I32" s="106"/>
      <c r="J32" s="107"/>
      <c r="K32" s="107"/>
      <c r="L32" s="108"/>
      <c r="M32" s="10"/>
      <c r="N32" s="10"/>
    </row>
    <row r="33" spans="2:16" x14ac:dyDescent="0.25">
      <c r="B33" s="26" t="s">
        <v>103</v>
      </c>
      <c r="C33" s="27"/>
      <c r="D33" s="20"/>
      <c r="E33" s="25" t="s">
        <v>101</v>
      </c>
      <c r="F33" s="10"/>
      <c r="G33" s="95" t="s">
        <v>104</v>
      </c>
      <c r="H33" s="96"/>
      <c r="I33" s="54"/>
      <c r="J33" s="55"/>
      <c r="K33" s="55"/>
      <c r="L33" s="56"/>
    </row>
    <row r="34" spans="2:16" x14ac:dyDescent="0.25">
      <c r="B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</row>
    <row r="35" spans="2:16" x14ac:dyDescent="0.25">
      <c r="B35" s="92" t="s">
        <v>105</v>
      </c>
      <c r="C35" s="93"/>
      <c r="D35" s="93"/>
      <c r="E35" s="93"/>
      <c r="F35" s="94"/>
      <c r="G35" s="10"/>
      <c r="H35" s="10"/>
      <c r="I35" s="10"/>
      <c r="J35" s="10"/>
      <c r="K35" s="10"/>
      <c r="L35" s="10"/>
      <c r="M35" s="10"/>
      <c r="N35" s="10"/>
      <c r="O35" s="10"/>
      <c r="P35" s="10"/>
    </row>
    <row r="36" spans="2:16" ht="15" customHeight="1" x14ac:dyDescent="0.25">
      <c r="B36" s="115" t="s">
        <v>123</v>
      </c>
      <c r="C36" s="115"/>
      <c r="D36" s="115"/>
      <c r="E36" s="115"/>
      <c r="F36" s="115"/>
      <c r="G36" s="42"/>
      <c r="H36" s="10"/>
      <c r="I36" s="10"/>
      <c r="J36" s="10"/>
      <c r="K36" s="10"/>
      <c r="L36" s="10"/>
      <c r="M36" s="10"/>
      <c r="N36" s="10"/>
      <c r="O36" s="10"/>
      <c r="P36" s="10"/>
    </row>
    <row r="37" spans="2:16" x14ac:dyDescent="0.25">
      <c r="B37" s="116"/>
      <c r="C37" s="116"/>
      <c r="D37" s="116"/>
      <c r="E37" s="116"/>
      <c r="F37" s="116"/>
      <c r="G37" s="42"/>
      <c r="H37" s="10"/>
      <c r="I37" s="10"/>
      <c r="J37" s="10"/>
      <c r="K37" s="10"/>
      <c r="L37" s="10"/>
      <c r="M37" s="10"/>
      <c r="N37" s="10"/>
      <c r="O37" s="10"/>
      <c r="P37" s="10"/>
    </row>
    <row r="38" spans="2:16" x14ac:dyDescent="0.25">
      <c r="B38" s="116"/>
      <c r="C38" s="116"/>
      <c r="D38" s="116"/>
      <c r="E38" s="116"/>
      <c r="F38" s="116"/>
      <c r="G38" s="42"/>
      <c r="H38" s="28" t="s">
        <v>106</v>
      </c>
      <c r="I38" s="10" t="s">
        <v>107</v>
      </c>
      <c r="K38" s="10"/>
      <c r="L38" s="10"/>
      <c r="M38" s="10"/>
      <c r="N38" s="10"/>
      <c r="O38" s="10"/>
      <c r="P38" s="10"/>
    </row>
    <row r="39" spans="2:16" x14ac:dyDescent="0.25">
      <c r="B39" s="116"/>
      <c r="C39" s="116"/>
      <c r="D39" s="116"/>
      <c r="E39" s="116"/>
      <c r="F39" s="116"/>
      <c r="G39" s="42"/>
      <c r="H39" s="10"/>
      <c r="I39" s="10" t="s">
        <v>108</v>
      </c>
      <c r="K39" s="10"/>
      <c r="L39" s="10"/>
      <c r="M39" s="10"/>
      <c r="N39" s="10"/>
      <c r="O39" s="10"/>
      <c r="P39" s="10"/>
    </row>
    <row r="40" spans="2:16" x14ac:dyDescent="0.25">
      <c r="B40" s="116"/>
      <c r="C40" s="116"/>
      <c r="D40" s="116"/>
      <c r="E40" s="116"/>
      <c r="F40" s="116"/>
      <c r="G40" s="42"/>
      <c r="H40" s="10"/>
      <c r="I40" s="10"/>
      <c r="K40" s="10"/>
      <c r="L40" s="10"/>
      <c r="M40" s="10"/>
      <c r="N40" s="10"/>
      <c r="O40" s="10"/>
      <c r="P40" s="10"/>
    </row>
    <row r="41" spans="2:16" x14ac:dyDescent="0.25">
      <c r="B41" s="42"/>
      <c r="C41" s="42"/>
      <c r="D41" s="42"/>
      <c r="E41" s="42"/>
      <c r="F41" s="42"/>
      <c r="G41" s="42"/>
      <c r="K41" s="21"/>
      <c r="L41" s="10"/>
      <c r="M41" s="10"/>
      <c r="N41" s="10"/>
      <c r="O41" s="10"/>
      <c r="P41" s="10"/>
    </row>
    <row r="42" spans="2:16" x14ac:dyDescent="0.25">
      <c r="B42" s="42"/>
      <c r="C42" s="42"/>
      <c r="D42" s="42"/>
      <c r="E42" s="42"/>
      <c r="F42" s="42"/>
      <c r="G42" s="42"/>
      <c r="H42" s="21"/>
      <c r="I42" s="10"/>
      <c r="J42" s="10"/>
      <c r="K42" s="21"/>
      <c r="L42" s="10"/>
      <c r="M42" s="10"/>
      <c r="N42" s="10"/>
      <c r="O42" s="10"/>
      <c r="P42" s="10"/>
    </row>
    <row r="43" spans="2:16" x14ac:dyDescent="0.25">
      <c r="B43" s="42"/>
      <c r="C43" s="42"/>
      <c r="D43" s="42"/>
      <c r="E43" s="42"/>
      <c r="F43" s="42"/>
      <c r="G43" s="42"/>
      <c r="K43" s="10"/>
    </row>
    <row r="44" spans="2:16" x14ac:dyDescent="0.25">
      <c r="B44" s="42"/>
      <c r="C44" s="42"/>
      <c r="D44" s="42"/>
      <c r="E44" s="42"/>
      <c r="F44" s="42"/>
      <c r="G44" s="42"/>
    </row>
    <row r="45" spans="2:16" x14ac:dyDescent="0.25">
      <c r="B45" s="42"/>
      <c r="C45" s="42"/>
      <c r="D45" s="42"/>
      <c r="E45" s="42"/>
      <c r="F45" s="42"/>
      <c r="G45" s="42"/>
    </row>
    <row r="46" spans="2:16" x14ac:dyDescent="0.25">
      <c r="B46" s="42"/>
      <c r="C46" s="42"/>
      <c r="D46" s="42"/>
      <c r="E46" s="42"/>
      <c r="F46" s="42"/>
      <c r="G46" s="42"/>
    </row>
    <row r="47" spans="2:16" x14ac:dyDescent="0.25">
      <c r="B47" s="42"/>
      <c r="C47" s="42"/>
      <c r="D47" s="42"/>
      <c r="E47" s="42"/>
      <c r="F47" s="42"/>
      <c r="G47" s="42"/>
    </row>
    <row r="48" spans="2:16" x14ac:dyDescent="0.25">
      <c r="B48" s="42"/>
      <c r="C48" s="42"/>
      <c r="D48" s="42"/>
      <c r="E48" s="42"/>
      <c r="F48" s="42"/>
      <c r="G48" s="42"/>
    </row>
    <row r="49" spans="2:7" x14ac:dyDescent="0.25">
      <c r="B49" s="42"/>
      <c r="C49" s="42"/>
      <c r="D49" s="42"/>
      <c r="E49" s="42"/>
      <c r="F49" s="42"/>
      <c r="G49" s="42"/>
    </row>
    <row r="50" spans="2:7" x14ac:dyDescent="0.25">
      <c r="B50" s="42"/>
      <c r="C50" s="42"/>
      <c r="D50" s="42"/>
      <c r="E50" s="42"/>
      <c r="F50" s="42"/>
      <c r="G50" s="42"/>
    </row>
  </sheetData>
  <mergeCells count="72">
    <mergeCell ref="B7:O7"/>
    <mergeCell ref="B36:F40"/>
    <mergeCell ref="E15:E17"/>
    <mergeCell ref="D8:F8"/>
    <mergeCell ref="D9:F9"/>
    <mergeCell ref="D10:F10"/>
    <mergeCell ref="D11:F11"/>
    <mergeCell ref="D12:F12"/>
    <mergeCell ref="G26:I26"/>
    <mergeCell ref="J26:K26"/>
    <mergeCell ref="G27:I27"/>
    <mergeCell ref="J27:K27"/>
    <mergeCell ref="G25:I25"/>
    <mergeCell ref="J25:K25"/>
    <mergeCell ref="N11:O11"/>
    <mergeCell ref="I8:K8"/>
    <mergeCell ref="I9:K9"/>
    <mergeCell ref="I10:K10"/>
    <mergeCell ref="L8:M8"/>
    <mergeCell ref="L9:M9"/>
    <mergeCell ref="L10:M10"/>
    <mergeCell ref="L11:M11"/>
    <mergeCell ref="I31:L31"/>
    <mergeCell ref="I32:L32"/>
    <mergeCell ref="I33:L33"/>
    <mergeCell ref="I30:L30"/>
    <mergeCell ref="B35:F35"/>
    <mergeCell ref="G33:H33"/>
    <mergeCell ref="B29:E29"/>
    <mergeCell ref="G29:H29"/>
    <mergeCell ref="D30:E30"/>
    <mergeCell ref="D31:E31"/>
    <mergeCell ref="G32:H32"/>
    <mergeCell ref="G30:H30"/>
    <mergeCell ref="G31:H31"/>
    <mergeCell ref="B15:B17"/>
    <mergeCell ref="C15:C17"/>
    <mergeCell ref="D15:D17"/>
    <mergeCell ref="B22:L22"/>
    <mergeCell ref="B23:B24"/>
    <mergeCell ref="C23:C24"/>
    <mergeCell ref="D23:D24"/>
    <mergeCell ref="E23:E24"/>
    <mergeCell ref="F23:F24"/>
    <mergeCell ref="G23:I24"/>
    <mergeCell ref="J23:K24"/>
    <mergeCell ref="L23:L24"/>
    <mergeCell ref="G15:G17"/>
    <mergeCell ref="L15:L17"/>
    <mergeCell ref="J15:K16"/>
    <mergeCell ref="I15:I17"/>
    <mergeCell ref="F15:F17"/>
    <mergeCell ref="M15:O16"/>
    <mergeCell ref="N8:O8"/>
    <mergeCell ref="N9:O9"/>
    <mergeCell ref="N10:O10"/>
    <mergeCell ref="I11:K11"/>
    <mergeCell ref="G8:H8"/>
    <mergeCell ref="G9:H9"/>
    <mergeCell ref="G10:H10"/>
    <mergeCell ref="G11:H11"/>
    <mergeCell ref="B14:Q14"/>
    <mergeCell ref="B12:C12"/>
    <mergeCell ref="B8:C8"/>
    <mergeCell ref="B9:C9"/>
    <mergeCell ref="B10:C10"/>
    <mergeCell ref="B11:C11"/>
    <mergeCell ref="J3:M3"/>
    <mergeCell ref="J4:M4"/>
    <mergeCell ref="C3:G3"/>
    <mergeCell ref="C4:G5"/>
    <mergeCell ref="B4:B5"/>
  </mergeCells>
  <dataValidations count="2">
    <dataValidation type="list" allowBlank="1" showInputMessage="1" showErrorMessage="1" sqref="D26:D27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2:E33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W52"/>
  <sheetViews>
    <sheetView topLeftCell="A7" zoomScale="85" zoomScaleNormal="85" workbookViewId="0">
      <selection activeCell="T18" sqref="T18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47.28515625" bestFit="1" customWidth="1"/>
    <col min="4" max="4" width="36.7109375" bestFit="1" customWidth="1"/>
    <col min="5" max="5" width="46.7109375" bestFit="1" customWidth="1"/>
    <col min="6" max="6" width="44.28515625" bestFit="1" customWidth="1"/>
    <col min="7" max="7" width="52.28515625" bestFit="1" customWidth="1"/>
    <col min="8" max="8" width="69.28515625" bestFit="1" customWidth="1"/>
    <col min="9" max="9" width="75.42578125" bestFit="1" customWidth="1"/>
    <col min="10" max="10" width="42.28515625" bestFit="1" customWidth="1"/>
    <col min="11" max="11" width="40.5703125" bestFit="1" customWidth="1"/>
    <col min="12" max="12" width="42.140625" bestFit="1" customWidth="1"/>
    <col min="13" max="13" width="41.7109375" bestFit="1" customWidth="1"/>
    <col min="14" max="14" width="52.85546875" bestFit="1" customWidth="1"/>
    <col min="15" max="15" width="36.28515625" bestFit="1" customWidth="1"/>
    <col min="16" max="16" width="46.7109375" bestFit="1" customWidth="1"/>
    <col min="17" max="17" width="16.28515625" customWidth="1"/>
    <col min="18" max="18" width="39.5703125" bestFit="1" customWidth="1"/>
    <col min="19" max="19" width="38.85546875" bestFit="1" customWidth="1"/>
    <col min="20" max="20" width="27.140625" bestFit="1" customWidth="1"/>
    <col min="21" max="21" width="43.28515625" bestFit="1" customWidth="1"/>
    <col min="22" max="22" width="30.42578125" customWidth="1"/>
    <col min="23" max="23" width="35.85546875" customWidth="1"/>
  </cols>
  <sheetData>
    <row r="1" spans="1:2" x14ac:dyDescent="0.25">
      <c r="A1" s="1" t="s">
        <v>46</v>
      </c>
      <c r="B1" s="1" t="s">
        <v>47</v>
      </c>
    </row>
    <row r="2" spans="1:2" x14ac:dyDescent="0.25">
      <c r="A2" t="s">
        <v>15</v>
      </c>
      <c r="B2" t="s">
        <v>2</v>
      </c>
    </row>
    <row r="3" spans="1:2" x14ac:dyDescent="0.25">
      <c r="A3" t="s">
        <v>16</v>
      </c>
      <c r="B3" t="s">
        <v>3</v>
      </c>
    </row>
    <row r="4" spans="1:2" x14ac:dyDescent="0.25">
      <c r="A4" t="s">
        <v>17</v>
      </c>
      <c r="B4" t="s">
        <v>4</v>
      </c>
    </row>
    <row r="5" spans="1:2" x14ac:dyDescent="0.25">
      <c r="A5" t="s">
        <v>18</v>
      </c>
      <c r="B5" t="s">
        <v>5</v>
      </c>
    </row>
    <row r="6" spans="1:2" x14ac:dyDescent="0.25">
      <c r="A6" t="s">
        <v>21</v>
      </c>
      <c r="B6" t="s">
        <v>6</v>
      </c>
    </row>
    <row r="7" spans="1:2" x14ac:dyDescent="0.25">
      <c r="A7" t="s">
        <v>20</v>
      </c>
      <c r="B7" t="s">
        <v>7</v>
      </c>
    </row>
    <row r="8" spans="1:2" x14ac:dyDescent="0.25">
      <c r="A8" t="s">
        <v>19</v>
      </c>
      <c r="B8" t="s">
        <v>8</v>
      </c>
    </row>
    <row r="9" spans="1:2" x14ac:dyDescent="0.25">
      <c r="A9" t="s">
        <v>0</v>
      </c>
      <c r="B9" t="s">
        <v>1</v>
      </c>
    </row>
    <row r="10" spans="1:2" x14ac:dyDescent="0.25">
      <c r="A10" t="s">
        <v>60</v>
      </c>
      <c r="B10" t="s">
        <v>61</v>
      </c>
    </row>
    <row r="11" spans="1:2" x14ac:dyDescent="0.25">
      <c r="A11" t="s">
        <v>110</v>
      </c>
      <c r="B11" t="s">
        <v>65</v>
      </c>
    </row>
    <row r="12" spans="1:2" x14ac:dyDescent="0.25">
      <c r="A12" t="s">
        <v>109</v>
      </c>
      <c r="B12" t="s">
        <v>64</v>
      </c>
    </row>
    <row r="13" spans="1:2" x14ac:dyDescent="0.25">
      <c r="A13" t="s">
        <v>111</v>
      </c>
      <c r="B13" t="s">
        <v>66</v>
      </c>
    </row>
    <row r="14" spans="1:2" x14ac:dyDescent="0.25">
      <c r="A14" t="s">
        <v>112</v>
      </c>
      <c r="B14" t="s">
        <v>71</v>
      </c>
    </row>
    <row r="15" spans="1:2" x14ac:dyDescent="0.25">
      <c r="A15" t="s">
        <v>118</v>
      </c>
      <c r="B15" s="37" t="s">
        <v>85</v>
      </c>
    </row>
    <row r="16" spans="1:2" x14ac:dyDescent="0.25">
      <c r="A16" s="1" t="s">
        <v>48</v>
      </c>
    </row>
    <row r="17" spans="1:23" x14ac:dyDescent="0.25">
      <c r="A17" s="7" t="s">
        <v>49</v>
      </c>
      <c r="B17" s="8" t="s">
        <v>50</v>
      </c>
      <c r="C17" s="2" t="s">
        <v>30</v>
      </c>
      <c r="D17" s="2" t="s">
        <v>31</v>
      </c>
      <c r="E17" s="2" t="s">
        <v>33</v>
      </c>
      <c r="F17" s="2" t="s">
        <v>35</v>
      </c>
      <c r="G17" s="2" t="s">
        <v>36</v>
      </c>
      <c r="H17" s="2" t="s">
        <v>39</v>
      </c>
      <c r="I17" s="2" t="s">
        <v>41</v>
      </c>
      <c r="J17" s="2" t="s">
        <v>43</v>
      </c>
      <c r="K17" s="2" t="s">
        <v>45</v>
      </c>
      <c r="L17" s="2" t="s">
        <v>9</v>
      </c>
      <c r="M17" s="2" t="s">
        <v>11</v>
      </c>
      <c r="N17" s="2" t="s">
        <v>12</v>
      </c>
      <c r="O17" s="2" t="s">
        <v>13</v>
      </c>
      <c r="P17" s="2" t="s">
        <v>51</v>
      </c>
      <c r="Q17" s="2" t="s">
        <v>52</v>
      </c>
      <c r="R17" s="2" t="s">
        <v>53</v>
      </c>
      <c r="S17" s="2" t="s">
        <v>121</v>
      </c>
      <c r="T17" s="2" t="s">
        <v>122</v>
      </c>
      <c r="U17" s="2" t="s">
        <v>55</v>
      </c>
      <c r="V17" s="2" t="s">
        <v>57</v>
      </c>
      <c r="W17" s="2" t="s">
        <v>59</v>
      </c>
    </row>
    <row r="18" spans="1:23" x14ac:dyDescent="0.25">
      <c r="A18" s="3" t="s">
        <v>23</v>
      </c>
      <c r="B18" s="4" t="s">
        <v>22</v>
      </c>
      <c r="C18" t="s">
        <v>28</v>
      </c>
      <c r="D18" t="s">
        <v>29</v>
      </c>
      <c r="E18" s="9" t="s">
        <v>32</v>
      </c>
      <c r="F18" t="s">
        <v>34</v>
      </c>
      <c r="G18" s="9" t="s">
        <v>37</v>
      </c>
      <c r="H18" s="9" t="s">
        <v>38</v>
      </c>
      <c r="I18" s="9" t="s">
        <v>40</v>
      </c>
      <c r="J18" t="s">
        <v>42</v>
      </c>
      <c r="K18" t="s">
        <v>44</v>
      </c>
      <c r="L18" t="s">
        <v>24</v>
      </c>
      <c r="M18" t="s">
        <v>25</v>
      </c>
      <c r="N18" t="s">
        <v>26</v>
      </c>
      <c r="O18" t="s">
        <v>27</v>
      </c>
      <c r="P18" t="s">
        <v>63</v>
      </c>
      <c r="Q18" t="e">
        <f>IF(D18&gt;0,IF(D18="Unit",CONCATENATE(Settings!P18," ",Settings!D18,"s"),CONCATENATE((Settings!P18/Settings!L18)," ",Settings!D18,"s")),"")</f>
        <v>#VALUE!</v>
      </c>
      <c r="R18" t="s">
        <v>54</v>
      </c>
      <c r="S18" t="s">
        <v>119</v>
      </c>
      <c r="T18" t="s">
        <v>120</v>
      </c>
      <c r="U18" t="s">
        <v>56</v>
      </c>
      <c r="V18" t="s">
        <v>62</v>
      </c>
      <c r="W18" t="s">
        <v>58</v>
      </c>
    </row>
    <row r="19" spans="1:23" x14ac:dyDescent="0.25">
      <c r="A19" s="3"/>
      <c r="B19" s="4"/>
      <c r="E19" s="9"/>
      <c r="G19" s="9"/>
      <c r="H19" s="9"/>
      <c r="I19" s="9"/>
      <c r="Q19" t="str">
        <f>IF(D19&gt;0,IF(D19="Unit",CONCATENATE(Settings!P19," ",Settings!D19,"s"),CONCATENATE((Settings!P19/Settings!L19)," ",Settings!D19,"s")),"")</f>
        <v/>
      </c>
    </row>
    <row r="20" spans="1:23" x14ac:dyDescent="0.25">
      <c r="A20" s="3"/>
      <c r="B20" s="4"/>
      <c r="E20" s="9"/>
      <c r="G20" s="9"/>
      <c r="H20" s="9"/>
      <c r="I20" s="9"/>
      <c r="Q20" t="str">
        <f>IF(D20&gt;0,IF(D20="Unit",CONCATENATE(Settings!P20," ",Settings!D20,"s"),CONCATENATE((Settings!P20/Settings!L20)," ",Settings!D20,"s")),"")</f>
        <v/>
      </c>
    </row>
    <row r="21" spans="1:23" x14ac:dyDescent="0.25">
      <c r="A21" s="3"/>
      <c r="B21" s="4"/>
      <c r="E21" s="9"/>
      <c r="G21" s="9"/>
      <c r="H21" s="9"/>
      <c r="I21" s="9"/>
      <c r="Q21" t="str">
        <f>IF(D21&gt;0,IF(D21="Unit",CONCATENATE(Settings!P21," ",Settings!D21,"s"),CONCATENATE((Settings!P21/Settings!L21)," ",Settings!D21,"s")),"")</f>
        <v/>
      </c>
    </row>
    <row r="22" spans="1:23" x14ac:dyDescent="0.25">
      <c r="A22" s="3"/>
      <c r="B22" s="4"/>
      <c r="E22" s="9"/>
      <c r="G22" s="9"/>
      <c r="H22" s="9"/>
      <c r="I22" s="9"/>
      <c r="Q22" t="str">
        <f>IF(D22&gt;0,IF(D22="Unit",CONCATENATE(Settings!P22," ",Settings!D22,"s"),CONCATENATE((Settings!P22/Settings!L22)," ",Settings!D22,"s")),"")</f>
        <v/>
      </c>
    </row>
    <row r="23" spans="1:23" x14ac:dyDescent="0.25">
      <c r="A23" s="3"/>
      <c r="B23" s="4"/>
      <c r="E23" s="9"/>
      <c r="G23" s="9"/>
      <c r="H23" s="9"/>
      <c r="I23" s="9"/>
      <c r="Q23" t="str">
        <f>IF(D23&gt;0,IF(D23="Unit",CONCATENATE(Settings!P23," ",Settings!D23,"s"),CONCATENATE((Settings!P23/Settings!L23)," ",Settings!D23,"s")),"")</f>
        <v/>
      </c>
    </row>
    <row r="24" spans="1:23" x14ac:dyDescent="0.25">
      <c r="A24" s="3"/>
      <c r="B24" s="4"/>
      <c r="E24" s="9"/>
      <c r="G24" s="9"/>
      <c r="H24" s="9"/>
      <c r="I24" s="9"/>
      <c r="Q24" t="str">
        <f>IF(D24&gt;0,IF(D24="Unit",CONCATENATE(Settings!P24," ",Settings!D24,"s"),CONCATENATE((Settings!P24/Settings!L24)," ",Settings!D24,"s")),"")</f>
        <v/>
      </c>
    </row>
    <row r="25" spans="1:23" x14ac:dyDescent="0.25">
      <c r="A25" s="3"/>
      <c r="B25" s="4"/>
      <c r="E25" s="9"/>
      <c r="G25" s="9"/>
      <c r="H25" s="9"/>
      <c r="I25" s="9"/>
      <c r="Q25" t="str">
        <f>IF(D25&gt;0,IF(D25="Unit",CONCATENATE(Settings!P25," ",Settings!D25,"s"),CONCATENATE((Settings!P25/Settings!L25)," ",Settings!D25,"s")),"")</f>
        <v/>
      </c>
    </row>
    <row r="26" spans="1:23" x14ac:dyDescent="0.25">
      <c r="A26" s="3"/>
      <c r="B26" s="4"/>
      <c r="E26" s="9"/>
      <c r="G26" s="9"/>
      <c r="H26" s="9"/>
      <c r="I26" s="9"/>
      <c r="Q26" t="str">
        <f>IF(D26&gt;0,IF(D26="Unit",CONCATENATE(Settings!P26," ",Settings!D26,"s"),CONCATENATE((Settings!P26/Settings!L26)," ",Settings!D26,"s")),"")</f>
        <v/>
      </c>
    </row>
    <row r="27" spans="1:23" x14ac:dyDescent="0.25">
      <c r="A27" s="3"/>
      <c r="B27" s="4"/>
      <c r="E27" s="9"/>
      <c r="G27" s="9"/>
      <c r="H27" s="9"/>
      <c r="I27" s="9"/>
      <c r="Q27" t="str">
        <f>IF(D27&gt;0,IF(D27="Unit",CONCATENATE(Settings!P27," ",Settings!D27,"s"),CONCATENATE((Settings!P27/Settings!L27)," ",Settings!D27,"s")),"")</f>
        <v/>
      </c>
    </row>
    <row r="28" spans="1:23" x14ac:dyDescent="0.25">
      <c r="A28" s="3"/>
      <c r="B28" s="4"/>
      <c r="E28" s="9"/>
      <c r="G28" s="9"/>
      <c r="H28" s="9"/>
      <c r="I28" s="9"/>
      <c r="Q28" t="str">
        <f>IF(D28&gt;0,IF(D28="Unit",CONCATENATE(Settings!P28," ",Settings!D28,"s"),CONCATENATE((Settings!P28/Settings!L28)," ",Settings!D28,"s")),"")</f>
        <v/>
      </c>
    </row>
    <row r="29" spans="1:23" x14ac:dyDescent="0.25">
      <c r="A29" s="3"/>
      <c r="B29" s="4"/>
      <c r="E29" s="9"/>
      <c r="G29" s="9"/>
      <c r="H29" s="9"/>
      <c r="I29" s="9"/>
      <c r="Q29" t="str">
        <f>IF(D29&gt;0,IF(D29="Unit",CONCATENATE(Settings!P29," ",Settings!D29,"s"),CONCATENATE((Settings!P29/Settings!L29)," ",Settings!D29,"s")),"")</f>
        <v/>
      </c>
    </row>
    <row r="30" spans="1:23" x14ac:dyDescent="0.25">
      <c r="A30" s="3"/>
      <c r="B30" s="4"/>
      <c r="E30" s="9"/>
      <c r="G30" s="9"/>
      <c r="H30" s="9"/>
      <c r="I30" s="9"/>
      <c r="Q30" t="str">
        <f>IF(D30&gt;0,IF(D30="Unit",CONCATENATE(Settings!P30," ",Settings!D30,"s"),CONCATENATE((Settings!P30/Settings!L30)," ",Settings!D30,"s")),"")</f>
        <v/>
      </c>
    </row>
    <row r="31" spans="1:23" x14ac:dyDescent="0.25">
      <c r="A31" s="3"/>
      <c r="B31" s="4"/>
      <c r="E31" s="9"/>
      <c r="G31" s="9"/>
      <c r="H31" s="9"/>
      <c r="I31" s="9"/>
      <c r="Q31" t="str">
        <f>IF(D31&gt;0,IF(D31="Unit",CONCATENATE(Settings!P31," ",Settings!D31,"s"),CONCATENATE((Settings!P31/Settings!L31)," ",Settings!D31,"s")),"")</f>
        <v/>
      </c>
    </row>
    <row r="32" spans="1:23" x14ac:dyDescent="0.25">
      <c r="A32" s="3"/>
      <c r="B32" s="4"/>
      <c r="E32" s="9"/>
      <c r="G32" s="9"/>
      <c r="H32" s="9"/>
      <c r="I32" s="9"/>
      <c r="Q32" t="str">
        <f>IF(D32&gt;0,IF(D32="Unit",CONCATENATE(Settings!P32," ",Settings!D32,"s"),CONCATENATE((Settings!P32/Settings!L32)," ",Settings!D32,"s")),"")</f>
        <v/>
      </c>
    </row>
    <row r="33" spans="1:17" x14ac:dyDescent="0.25">
      <c r="A33" s="3"/>
      <c r="B33" s="4"/>
      <c r="E33" s="9"/>
      <c r="G33" s="9"/>
      <c r="H33" s="9"/>
      <c r="I33" s="9"/>
      <c r="Q33" t="str">
        <f>IF(D33&gt;0,IF(D33="Unit",CONCATENATE(Settings!P33," ",Settings!D33,"s"),CONCATENATE((Settings!P33/Settings!L33)," ",Settings!D33,"s")),"")</f>
        <v/>
      </c>
    </row>
    <row r="34" spans="1:17" x14ac:dyDescent="0.25">
      <c r="A34" s="3"/>
      <c r="B34" s="4"/>
      <c r="E34" s="9"/>
      <c r="G34" s="9"/>
      <c r="H34" s="9"/>
      <c r="I34" s="9"/>
      <c r="Q34" t="str">
        <f>IF(D34&gt;0,IF(D34="Unit",CONCATENATE(Settings!P34," ",Settings!D34,"s"),CONCATENATE((Settings!P34/Settings!L34)," ",Settings!D34,"s")),"")</f>
        <v/>
      </c>
    </row>
    <row r="35" spans="1:17" x14ac:dyDescent="0.25">
      <c r="A35" s="3"/>
      <c r="B35" s="4"/>
      <c r="E35" s="9"/>
      <c r="G35" s="9"/>
      <c r="H35" s="9"/>
      <c r="I35" s="9"/>
      <c r="Q35" t="str">
        <f>IF(D35&gt;0,IF(D35="Unit",CONCATENATE(Settings!P35," ",Settings!D35,"s"),CONCATENATE((Settings!P35/Settings!L35)," ",Settings!D35,"s")),"")</f>
        <v/>
      </c>
    </row>
    <row r="36" spans="1:17" x14ac:dyDescent="0.25">
      <c r="A36" s="3"/>
      <c r="B36" s="4"/>
      <c r="E36" s="9"/>
      <c r="G36" s="9"/>
      <c r="H36" s="9"/>
      <c r="I36" s="9"/>
      <c r="Q36" t="str">
        <f>IF(D36&gt;0,IF(D36="Unit",CONCATENATE(Settings!P36," ",Settings!D36,"s"),CONCATENATE((Settings!P36/Settings!L36)," ",Settings!D36,"s")),"")</f>
        <v/>
      </c>
    </row>
    <row r="37" spans="1:17" x14ac:dyDescent="0.25">
      <c r="A37" s="3"/>
      <c r="B37" s="4"/>
      <c r="E37" s="9"/>
      <c r="G37" s="9"/>
      <c r="H37" s="9"/>
      <c r="I37" s="9"/>
      <c r="Q37" t="str">
        <f>IF(D37&gt;0,IF(D37="Unit",CONCATENATE(Settings!P37," ",Settings!D37,"s"),CONCATENATE((Settings!P37/Settings!L37)," ",Settings!D37,"s")),"")</f>
        <v/>
      </c>
    </row>
    <row r="38" spans="1:17" x14ac:dyDescent="0.25">
      <c r="A38" s="3"/>
      <c r="B38" s="4"/>
      <c r="E38" s="9"/>
      <c r="G38" s="9"/>
      <c r="H38" s="9"/>
      <c r="I38" s="9"/>
      <c r="Q38" t="str">
        <f>IF(D38&gt;0,IF(D38="Unit",CONCATENATE(Settings!P38," ",Settings!D38,"s"),CONCATENATE((Settings!P38/Settings!L38)," ",Settings!D38,"s")),"")</f>
        <v/>
      </c>
    </row>
    <row r="39" spans="1:17" x14ac:dyDescent="0.25">
      <c r="A39" s="3"/>
      <c r="B39" s="4"/>
      <c r="E39" s="9"/>
      <c r="G39" s="9"/>
      <c r="H39" s="9"/>
      <c r="I39" s="9"/>
      <c r="Q39" t="str">
        <f>IF(D39&gt;0,IF(D39="Unit",CONCATENATE(Settings!P39," ",Settings!D39,"s"),CONCATENATE((Settings!P39/Settings!L39)," ",Settings!D39,"s")),"")</f>
        <v/>
      </c>
    </row>
    <row r="40" spans="1:17" x14ac:dyDescent="0.25">
      <c r="A40" s="3"/>
      <c r="B40" s="4"/>
      <c r="E40" s="9"/>
      <c r="G40" s="9"/>
      <c r="H40" s="9"/>
      <c r="I40" s="9"/>
      <c r="Q40" t="str">
        <f>IF(D40&gt;0,IF(D40="Unit",CONCATENATE(Settings!P40," ",Settings!D40,"s"),CONCATENATE((Settings!P40/Settings!L40)," ",Settings!D40,"s")),"")</f>
        <v/>
      </c>
    </row>
    <row r="41" spans="1:17" x14ac:dyDescent="0.25">
      <c r="A41" s="3"/>
      <c r="B41" s="4"/>
      <c r="E41" s="9"/>
      <c r="G41" s="9"/>
      <c r="H41" s="9"/>
      <c r="I41" s="9"/>
      <c r="Q41" t="str">
        <f>IF(D41&gt;0,IF(D41="Unit",CONCATENATE(Settings!P41," ",Settings!D41,"s"),CONCATENATE((Settings!P41/Settings!L41)," ",Settings!D41,"s")),"")</f>
        <v/>
      </c>
    </row>
    <row r="42" spans="1:17" x14ac:dyDescent="0.25">
      <c r="A42" s="3"/>
      <c r="B42" s="4"/>
      <c r="E42" s="9"/>
      <c r="G42" s="9"/>
      <c r="H42" s="9"/>
      <c r="I42" s="9"/>
      <c r="Q42" t="str">
        <f>IF(D42&gt;0,IF(D42="Unit",CONCATENATE(Settings!P42," ",Settings!D42,"s"),CONCATENATE((Settings!P42/Settings!L42)," ",Settings!D42,"s")),"")</f>
        <v/>
      </c>
    </row>
    <row r="43" spans="1:17" x14ac:dyDescent="0.25">
      <c r="A43" s="3"/>
      <c r="B43" s="4"/>
      <c r="E43" s="9"/>
      <c r="G43" s="9"/>
      <c r="H43" s="9"/>
      <c r="I43" s="9"/>
      <c r="Q43" t="str">
        <f>IF(D43&gt;0,IF(D43="Unit",CONCATENATE(Settings!P43," ",Settings!D43,"s"),CONCATENATE((Settings!P43/Settings!L43)," ",Settings!D43,"s")),"")</f>
        <v/>
      </c>
    </row>
    <row r="44" spans="1:17" x14ac:dyDescent="0.25">
      <c r="A44" s="3"/>
      <c r="B44" s="4"/>
      <c r="E44" s="9"/>
      <c r="G44" s="9"/>
      <c r="H44" s="9"/>
      <c r="I44" s="9"/>
      <c r="Q44" t="str">
        <f>IF(D44&gt;0,IF(D44="Unit",CONCATENATE(Settings!P44," ",Settings!D44,"s"),CONCATENATE((Settings!P44/Settings!L44)," ",Settings!D44,"s")),"")</f>
        <v/>
      </c>
    </row>
    <row r="45" spans="1:17" x14ac:dyDescent="0.25">
      <c r="A45" s="3"/>
      <c r="B45" s="4"/>
      <c r="E45" s="9"/>
      <c r="G45" s="9"/>
      <c r="H45" s="9"/>
      <c r="I45" s="9"/>
      <c r="Q45" t="str">
        <f>IF(D45&gt;0,IF(D45="Unit",CONCATENATE(Settings!P45," ",Settings!D45,"s"),CONCATENATE((Settings!P45/Settings!L45)," ",Settings!D45,"s")),"")</f>
        <v/>
      </c>
    </row>
    <row r="46" spans="1:17" x14ac:dyDescent="0.25">
      <c r="A46" s="3"/>
      <c r="B46" s="4"/>
      <c r="E46" s="9"/>
      <c r="G46" s="9"/>
      <c r="H46" s="9"/>
      <c r="I46" s="9"/>
      <c r="Q46" t="str">
        <f>IF(D46&gt;0,IF(D46="Unit",CONCATENATE(Settings!P46," ",Settings!D46,"s"),CONCATENATE((Settings!P46/Settings!L46)," ",Settings!D46,"s")),"")</f>
        <v/>
      </c>
    </row>
    <row r="47" spans="1:17" x14ac:dyDescent="0.25">
      <c r="A47" s="3"/>
      <c r="B47" s="4"/>
      <c r="E47" s="9"/>
      <c r="G47" s="9"/>
      <c r="H47" s="9"/>
      <c r="I47" s="9"/>
      <c r="Q47" t="str">
        <f>IF(D47&gt;0,IF(D47="Unit",CONCATENATE(Settings!P47," ",Settings!D47,"s"),CONCATENATE((Settings!P47/Settings!L47)," ",Settings!D47,"s")),"")</f>
        <v/>
      </c>
    </row>
    <row r="48" spans="1:17" x14ac:dyDescent="0.25">
      <c r="A48" s="3"/>
      <c r="B48" s="4"/>
      <c r="E48" s="9"/>
      <c r="G48" s="9"/>
      <c r="H48" s="9"/>
      <c r="I48" s="9"/>
      <c r="Q48" t="str">
        <f>IF(D48&gt;0,IF(D48="Unit",CONCATENATE(Settings!P48," ",Settings!D48,"s"),CONCATENATE((Settings!P48/Settings!L48)," ",Settings!D48,"s")),"")</f>
        <v/>
      </c>
    </row>
    <row r="49" spans="1:17" x14ac:dyDescent="0.25">
      <c r="A49" s="3"/>
      <c r="B49" s="4"/>
      <c r="E49" s="9"/>
      <c r="G49" s="9"/>
      <c r="H49" s="9"/>
      <c r="I49" s="9"/>
      <c r="Q49" t="str">
        <f>IF(D49&gt;0,IF(D49="Unit",CONCATENATE(Settings!P49," ",Settings!D49,"s"),CONCATENATE((Settings!P49/Settings!L49)," ",Settings!D49,"s")),"")</f>
        <v/>
      </c>
    </row>
    <row r="50" spans="1:17" x14ac:dyDescent="0.25">
      <c r="A50" s="3"/>
      <c r="B50" s="4"/>
      <c r="E50" s="9"/>
      <c r="G50" s="9"/>
      <c r="H50" s="9"/>
      <c r="I50" s="9"/>
      <c r="Q50" t="str">
        <f>IF(D50&gt;0,IF(D50="Unit",CONCATENATE(Settings!P50," ",Settings!D50,"s"),CONCATENATE((Settings!P50/Settings!L50)," ",Settings!D50,"s")),"")</f>
        <v/>
      </c>
    </row>
    <row r="51" spans="1:17" x14ac:dyDescent="0.25">
      <c r="A51" s="3"/>
      <c r="B51" s="4"/>
      <c r="E51" s="9"/>
      <c r="G51" s="9"/>
      <c r="H51" s="9"/>
      <c r="I51" s="9"/>
      <c r="Q51" t="str">
        <f>IF(D51&gt;0,IF(D51="Unit",CONCATENATE(Settings!P51," ",Settings!D51,"s"),CONCATENATE((Settings!P51/Settings!L51)," ",Settings!D51,"s")),"")</f>
        <v/>
      </c>
    </row>
    <row r="52" spans="1:17" x14ac:dyDescent="0.25">
      <c r="A52" s="5"/>
      <c r="B52" s="6"/>
      <c r="E52" s="9"/>
      <c r="G52" s="9"/>
      <c r="H52" s="9"/>
      <c r="I52" s="9"/>
      <c r="Q52" t="str">
        <f>IF(D52&gt;0,IF(D52="Unit",CONCATENATE(Settings!P52," ",Settings!D52,"s"),CONCATENATE((Settings!P52/Settings!L52)," ",Settings!D52,"s")),"")</f>
        <v/>
      </c>
    </row>
  </sheetData>
  <pageMargins left="0.7" right="0.7" top="0.75" bottom="0.75" header="0.3" footer="0.3"/>
  <pageSetup paperSize="9" orientation="portrait" horizontalDpi="4294967294" verticalDpi="0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2023-10-09T07:00:06Z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