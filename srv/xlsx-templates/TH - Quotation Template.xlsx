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956" documentId="8_{DE39F225-2AE1-4446-AB5F-E204FEABCD0B}" xr6:coauthVersionLast="47" xr6:coauthVersionMax="47" xr10:uidLastSave="{834A38AB-0DDF-4C95-A154-1EECBDB308ED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definedNames>
    <definedName name="_xlnm._FilterDatabase" localSheetId="0" hidden="1">Quotation!$B$21:$L$25</definedName>
    <definedName name="_xlnm._FilterDatabase" localSheetId="1" hidden="1">Settings!$C$2:$D$13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3" l="1"/>
  <c r="R20" i="2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<sst xmlns="http://schemas.openxmlformats.org/spreadsheetml/2006/main" count="184" uniqueCount="140">
  <si>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</si>
  <si>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</si>
  <si>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</si>
  <si>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</si>
  <si>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</si>
  <si>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</si>
  <si>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</si>
  <si>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</si>
  <si>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</si>
  <si>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</si>
  <si>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</si>
  <si>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</si>
  <si>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</si>
  <si>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</si>
  <si>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</si>
  <si>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</si>
  <si>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</si>
  <si>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</si>
  <si>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</si>
  <si>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</si>
  <si>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</si>
  <si>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</si>
  <si>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</si>
  <si>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</si>
  <si>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</si>
  <si>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</si>
  <si>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</si>
  <si>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</si>
  <si>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</si>
  <si>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</si>
  <si>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</si>
  <si>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</si>
  <si>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</si>
  <si>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</si>
  <si>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</si>
  <si>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</si>
  <si>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</si>
  <si>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</si>
  <si>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</si>
  <si>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</si>
  <si>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</si>
  <si>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</si>
  <si>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</si>
  <si>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</si>
  <si>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</si>
  <si>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</si>
  <si>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</si>
  <si>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</si>
  <si>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</si>
  <si>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</si>
  <si>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</si>
  <si>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</si>
  <si>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</si>
  <si>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</si>
  <si>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</si>
  <si>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</si>
  <si>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</si>
  <si>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</si>
  <si>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</si>
  <si>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</si>
  <si>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</si>
  <si>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</si>
  <si>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</si>
  <si>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</si>
  <si>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</si>
  <si>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</si>
  <si>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</si>
  <si>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</si>
  <si>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</si>
  <si>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</si>
  <si>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</si>
  <si>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</si>
  <si>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</si>
  <si>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</si>
  <si>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</si>
  <si>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</si>
  <si>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</si>
  <si>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</si>
  <si>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</si>
  <si>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</si>
  <si>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</si>
  <si>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</si>
  <si>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</si>
  <si>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</si>
  <si>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</si>
  <si>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</si>
  <si>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</si>
  <si>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</si>
  <si>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</si>
  <si>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</si>
  <si>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</si>
  <si>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</si>
  <si>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</si>
  <si>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</si>
  <si>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</si>
  <si>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</si>
  <si>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</si>
  <si>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</si>
  <si>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</si>
  <si>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</si>
  <si>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</si>
  <si>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</si>
  <si>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</si>
  <si>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</si>
  <si>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</si>
  <si>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</si>
  <si>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</si>
  <si>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</si>
  <si>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</si>
  <si>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</si>
  <si>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</si>
  <si>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</si>
  <si>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</si>
  <si>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</si>
  <si>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</si>
  <si>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</si>
  <si>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</si>
  <si>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</si>
  <si>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</si>
  <si>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</si>
  <si>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</si>
  <si>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</si>
  <si>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</si>
  <si>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</si>
  <si>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</si>
  <si>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</si>
  <si>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</si>
  <si>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</si>
  <si>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</si>
  <si>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</si>
  <si>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เม็ด</t>
  </si>
  <si>
    <t>ไวอัล</t>
  </si>
  <si>
    <t>แอมพูล</t>
  </si>
  <si>
    <t>ขวด</t>
  </si>
  <si>
    <t>box</t>
  </si>
  <si>
    <t>tablet</t>
  </si>
  <si>
    <t>vial</t>
  </si>
  <si>
    <t>ampoul</t>
  </si>
  <si>
    <t>bottle</t>
  </si>
  <si>
    <t>กล่อง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</si>
</sst>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5" xfId="0" applyFont="1" applyFill="1" applyBorder="1" applyAlignment="1">
      <alignment horizontal="left" vertical="top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0" fillId="0" borderId="0" xfId="0" applyAlignment="1">
      <alignment horizontal="center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4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zoomScale="90" zoomScaleNormal="90" workbookViewId="0">
      <selection activeCell="D26" sqref="D26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62" t="s">
        <v>103</v>
      </c>
      <c r="D3" s="63"/>
      <c r="E3" s="63"/>
      <c r="F3" s="63"/>
      <c r="G3" s="64"/>
      <c r="H3" s="10"/>
      <c r="I3" s="26" t="s">
        <v>64</v>
      </c>
      <c r="J3" s="62" t="s">
        <v>104</v>
      </c>
      <c r="K3" s="63"/>
      <c r="L3" s="63"/>
      <c r="M3" s="64"/>
      <c r="N3" s="10"/>
    </row>
    <row r="4" spans="2:14" ht="15" customHeight="1" x14ac:dyDescent="0.25">
      <c r="B4" s="27" t="s">
        <v>65</v>
      </c>
      <c r="C4" s="65" t="s">
        <v>105</v>
      </c>
      <c r="D4" s="66"/>
      <c r="E4" s="66"/>
      <c r="F4" s="66"/>
      <c r="G4" s="67"/>
      <c r="H4" s="10"/>
      <c r="I4" s="26" t="s">
        <v>65</v>
      </c>
      <c r="J4" s="73" t="s">
        <v>116</v>
      </c>
      <c r="K4" s="74"/>
      <c r="L4" s="74"/>
      <c r="M4" s="75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68" t="s">
        <v>66</v>
      </c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70"/>
    </row>
    <row r="7" spans="2:14" x14ac:dyDescent="0.25">
      <c r="B7" s="76" t="s">
        <v>67</v>
      </c>
      <c r="C7" s="77"/>
      <c r="D7" s="94" t="s">
        <v>118</v>
      </c>
      <c r="E7" s="94"/>
      <c r="F7" s="40"/>
      <c r="G7" s="42" t="s">
        <v>68</v>
      </c>
      <c r="H7" s="42"/>
      <c r="I7" s="81" t="s">
        <v>117</v>
      </c>
      <c r="J7" s="81"/>
      <c r="K7" s="82"/>
      <c r="L7" s="71" t="s">
        <v>69</v>
      </c>
      <c r="M7" s="72"/>
      <c r="N7" s="43"/>
    </row>
    <row r="8" spans="2:14" ht="26.25" customHeight="1" x14ac:dyDescent="0.25">
      <c r="B8" s="78" t="s">
        <v>70</v>
      </c>
      <c r="C8" s="79"/>
      <c r="D8" s="95" t="str">
        <f>Settings!A14</f>
        <v>${offerValidation.CUSTOMER_CODE}</v>
      </c>
      <c r="E8" s="95"/>
      <c r="F8" s="40"/>
      <c r="G8" s="96" t="s">
        <v>71</v>
      </c>
      <c r="H8" s="96"/>
      <c r="I8" s="50" t="s">
        <v>16</v>
      </c>
      <c r="J8" s="50"/>
      <c r="K8" s="51"/>
      <c r="L8" s="52" t="s">
        <v>72</v>
      </c>
      <c r="M8" s="53"/>
      <c r="N8" s="38"/>
    </row>
    <row r="9" spans="2:14" ht="26.25" customHeight="1" x14ac:dyDescent="0.25">
      <c r="B9" s="78" t="s">
        <v>73</v>
      </c>
      <c r="C9" s="79"/>
      <c r="D9" s="65" t="str">
        <f>Settings!A9</f>
        <v>${offerValidation.INSTITUTENAME}</v>
      </c>
      <c r="E9" s="67"/>
      <c r="F9" s="40"/>
      <c r="G9" s="97" t="s">
        <v>5</v>
      </c>
      <c r="H9" s="97"/>
      <c r="I9" s="50" t="s">
        <v>17</v>
      </c>
      <c r="J9" s="50"/>
      <c r="K9" s="51"/>
      <c r="L9" s="52" t="s">
        <v>74</v>
      </c>
      <c r="M9" s="53"/>
      <c r="N9" s="38"/>
    </row>
    <row r="10" spans="2:14" x14ac:dyDescent="0.25">
      <c r="B10" s="78" t="s">
        <v>6</v>
      </c>
      <c r="C10" s="79"/>
      <c r="D10" s="103" t="s">
        <v>20</v>
      </c>
      <c r="E10" s="104"/>
      <c r="F10" s="10"/>
      <c r="G10" s="89" t="s">
        <v>7</v>
      </c>
      <c r="H10" s="89"/>
      <c r="I10" s="87" t="s">
        <v>19</v>
      </c>
      <c r="J10" s="87"/>
      <c r="K10" s="88"/>
      <c r="L10" s="52" t="s">
        <v>72</v>
      </c>
      <c r="M10" s="53"/>
      <c r="N10" s="38"/>
    </row>
    <row r="11" spans="2:14" x14ac:dyDescent="0.25">
      <c r="B11" s="78" t="s">
        <v>8</v>
      </c>
      <c r="C11" s="79"/>
      <c r="D11" s="103" t="s">
        <v>18</v>
      </c>
      <c r="E11" s="104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105" t="s">
        <v>75</v>
      </c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</row>
    <row r="14" spans="2:14" x14ac:dyDescent="0.25">
      <c r="B14" s="80" t="s">
        <v>76</v>
      </c>
      <c r="C14" s="57" t="s">
        <v>77</v>
      </c>
      <c r="D14" s="57" t="s">
        <v>78</v>
      </c>
      <c r="E14" s="57" t="s">
        <v>79</v>
      </c>
      <c r="F14" s="57" t="s">
        <v>109</v>
      </c>
      <c r="G14" s="57" t="s">
        <v>108</v>
      </c>
      <c r="H14" s="54" t="s">
        <v>9</v>
      </c>
      <c r="I14" s="57" t="s">
        <v>125</v>
      </c>
      <c r="J14" s="57" t="s">
        <v>10</v>
      </c>
      <c r="K14" s="57"/>
      <c r="L14" s="57"/>
      <c r="M14" s="57" t="s">
        <v>80</v>
      </c>
      <c r="N14" s="57"/>
    </row>
    <row r="15" spans="2:14" x14ac:dyDescent="0.25">
      <c r="B15" s="80"/>
      <c r="C15" s="57"/>
      <c r="D15" s="57"/>
      <c r="E15" s="57"/>
      <c r="F15" s="57"/>
      <c r="G15" s="57"/>
      <c r="H15" s="55"/>
      <c r="I15" s="57"/>
      <c r="J15" s="57"/>
      <c r="K15" s="57"/>
      <c r="L15" s="57"/>
      <c r="M15" s="57"/>
      <c r="N15" s="57"/>
    </row>
    <row r="16" spans="2:14" ht="25.5" customHeight="1" x14ac:dyDescent="0.25">
      <c r="B16" s="80"/>
      <c r="C16" s="57"/>
      <c r="D16" s="57"/>
      <c r="E16" s="57"/>
      <c r="F16" s="57"/>
      <c r="G16" s="57"/>
      <c r="H16" s="56"/>
      <c r="I16" s="57"/>
      <c r="J16" s="11" t="s">
        <v>81</v>
      </c>
      <c r="K16" s="83" t="s">
        <v>82</v>
      </c>
      <c r="L16" s="83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90" t="s">
        <v>36</v>
      </c>
      <c r="L17" s="90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91"/>
      <c r="L18" s="91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84" t="s">
        <v>129</v>
      </c>
      <c r="L19" s="84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68" t="s">
        <v>83</v>
      </c>
      <c r="C21" s="69"/>
      <c r="D21" s="69"/>
      <c r="E21" s="69"/>
      <c r="F21" s="69"/>
      <c r="G21" s="69"/>
      <c r="H21" s="69"/>
      <c r="I21" s="69"/>
      <c r="J21" s="69"/>
      <c r="K21" s="69"/>
      <c r="L21" s="70"/>
      <c r="M21" s="10"/>
    </row>
    <row r="22" spans="2:15" x14ac:dyDescent="0.25">
      <c r="B22" s="99" t="s">
        <v>76</v>
      </c>
      <c r="C22" s="54" t="s">
        <v>77</v>
      </c>
      <c r="D22" s="54" t="s">
        <v>84</v>
      </c>
      <c r="E22" s="54" t="s">
        <v>87</v>
      </c>
      <c r="F22" s="54" t="s">
        <v>86</v>
      </c>
      <c r="G22" s="58" t="s">
        <v>85</v>
      </c>
      <c r="H22" s="85"/>
      <c r="I22" s="59"/>
      <c r="J22" s="58" t="s">
        <v>88</v>
      </c>
      <c r="K22" s="59"/>
      <c r="L22" s="54" t="s">
        <v>89</v>
      </c>
      <c r="M22" s="10"/>
    </row>
    <row r="23" spans="2:15" x14ac:dyDescent="0.25">
      <c r="B23" s="100"/>
      <c r="C23" s="56"/>
      <c r="D23" s="56"/>
      <c r="E23" s="56"/>
      <c r="F23" s="56"/>
      <c r="G23" s="60"/>
      <c r="H23" s="86"/>
      <c r="I23" s="61"/>
      <c r="J23" s="60"/>
      <c r="K23" s="61"/>
      <c r="L23" s="56"/>
      <c r="M23" s="10"/>
    </row>
    <row r="24" spans="2:15" ht="15" customHeight="1" x14ac:dyDescent="0.25">
      <c r="B24" s="12" t="s">
        <v>43</v>
      </c>
      <c r="C24" s="37" t="s">
        <v>22</v>
      </c>
      <c r="D24" s="38"/>
      <c r="E24" s="38" t="s">
        <v>124</v>
      </c>
      <c r="F24" s="16" t="s">
        <v>122</v>
      </c>
      <c r="G24" s="48" t="s">
        <v>121</v>
      </c>
      <c r="H24" s="107"/>
      <c r="I24" s="49"/>
      <c r="J24" s="48" t="s">
        <v>110</v>
      </c>
      <c r="K24" s="49"/>
      <c r="L24" s="16" t="s">
        <v>25</v>
      </c>
      <c r="M24" s="10"/>
    </row>
    <row r="25" spans="2:15" x14ac:dyDescent="0.25">
      <c r="B25" s="16"/>
      <c r="C25" s="16"/>
      <c r="D25" s="38"/>
      <c r="E25" s="16"/>
      <c r="F25" s="16"/>
      <c r="G25" s="45"/>
      <c r="H25" s="46"/>
      <c r="I25" s="47"/>
      <c r="J25" s="48"/>
      <c r="K25" s="49"/>
      <c r="L25" s="16"/>
      <c r="M25" s="10"/>
    </row>
    <row r="26" spans="2:15" x14ac:dyDescent="0.25">
      <c r="B26" s="16"/>
      <c r="C26" s="16"/>
      <c r="D26" s="38"/>
      <c r="E26" s="16"/>
      <c r="F26" s="16"/>
      <c r="G26" s="45"/>
      <c r="H26" s="46"/>
      <c r="I26" s="47"/>
      <c r="J26" s="48"/>
      <c r="K26" s="4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98" t="s">
        <v>90</v>
      </c>
      <c r="C28" s="98"/>
      <c r="D28" s="98"/>
      <c r="E28" s="98"/>
      <c r="F28" s="18"/>
      <c r="G28" s="101" t="s">
        <v>91</v>
      </c>
      <c r="H28" s="102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15"/>
      <c r="E29" s="115"/>
      <c r="F29" s="10"/>
      <c r="G29" s="92" t="s">
        <v>94</v>
      </c>
      <c r="H29" s="93"/>
      <c r="I29" s="103"/>
      <c r="J29" s="106"/>
      <c r="K29" s="106"/>
      <c r="L29" s="104"/>
      <c r="M29" s="10"/>
      <c r="N29" s="10"/>
    </row>
    <row r="30" spans="2:15" x14ac:dyDescent="0.25">
      <c r="B30" s="19" t="s">
        <v>95</v>
      </c>
      <c r="C30" s="20"/>
      <c r="D30" s="116"/>
      <c r="E30" s="116"/>
      <c r="F30" s="10"/>
      <c r="G30" s="92" t="s">
        <v>96</v>
      </c>
      <c r="H30" s="93"/>
      <c r="I30" s="103"/>
      <c r="J30" s="106"/>
      <c r="K30" s="106"/>
      <c r="L30" s="104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92" t="s">
        <v>99</v>
      </c>
      <c r="H31" s="93"/>
      <c r="I31" s="103"/>
      <c r="J31" s="106"/>
      <c r="K31" s="106"/>
      <c r="L31" s="104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13" t="s">
        <v>101</v>
      </c>
      <c r="H32" s="114"/>
      <c r="I32" s="62"/>
      <c r="J32" s="63"/>
      <c r="K32" s="63"/>
      <c r="L32" s="64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110" t="s">
        <v>102</v>
      </c>
      <c r="C34" s="111"/>
      <c r="D34" s="111"/>
      <c r="E34" s="111"/>
      <c r="F34" s="112"/>
      <c r="G34" s="10"/>
      <c r="H34" s="109" t="e" vm="1">
        <f>Settings!C2</f>
        <v>#VALUE!</v>
      </c>
      <c r="I34" s="109"/>
      <c r="J34" s="109"/>
    </row>
    <row r="35" spans="2:14" ht="15" customHeight="1" x14ac:dyDescent="0.25">
      <c r="B35" s="108" t="s">
        <v>114</v>
      </c>
      <c r="C35" s="108"/>
      <c r="D35" s="108"/>
      <c r="E35" s="108"/>
      <c r="F35" s="108"/>
      <c r="G35" s="29"/>
      <c r="H35" s="109"/>
      <c r="I35" s="109"/>
      <c r="J35" s="109"/>
    </row>
    <row r="36" spans="2:14" x14ac:dyDescent="0.25">
      <c r="B36" s="108"/>
      <c r="C36" s="108"/>
      <c r="D36" s="108"/>
      <c r="E36" s="108"/>
      <c r="F36" s="108"/>
      <c r="G36" s="29"/>
      <c r="H36" s="109"/>
      <c r="I36" s="109"/>
      <c r="J36" s="109"/>
    </row>
    <row r="37" spans="2:14" x14ac:dyDescent="0.25">
      <c r="B37" s="108"/>
      <c r="C37" s="108"/>
      <c r="D37" s="108"/>
      <c r="E37" s="108"/>
      <c r="F37" s="108"/>
      <c r="G37" s="29"/>
      <c r="H37" s="109"/>
      <c r="I37" s="109"/>
      <c r="J37" s="109"/>
    </row>
    <row r="38" spans="2:14" x14ac:dyDescent="0.25">
      <c r="B38" s="108"/>
      <c r="C38" s="108"/>
      <c r="D38" s="108"/>
      <c r="E38" s="108"/>
      <c r="F38" s="108"/>
      <c r="G38" s="29"/>
      <c r="H38" s="109"/>
      <c r="I38" s="109"/>
      <c r="J38" s="109"/>
    </row>
    <row r="39" spans="2:14" x14ac:dyDescent="0.25">
      <c r="B39" s="108"/>
      <c r="C39" s="108"/>
      <c r="D39" s="108"/>
      <c r="E39" s="108"/>
      <c r="F39" s="108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4"/>
    </row>
  </sheetData>
  <mergeCells count="71">
    <mergeCell ref="I29:L29"/>
    <mergeCell ref="G24:I24"/>
    <mergeCell ref="J24:K24"/>
    <mergeCell ref="B35:F39"/>
    <mergeCell ref="I31:L31"/>
    <mergeCell ref="G26:I26"/>
    <mergeCell ref="J26:K26"/>
    <mergeCell ref="H34:J38"/>
    <mergeCell ref="I32:L32"/>
    <mergeCell ref="I30:L30"/>
    <mergeCell ref="B34:F34"/>
    <mergeCell ref="G32:H32"/>
    <mergeCell ref="D29:E29"/>
    <mergeCell ref="D30:E30"/>
    <mergeCell ref="G31:H31"/>
    <mergeCell ref="G29:H29"/>
    <mergeCell ref="G30:H30"/>
    <mergeCell ref="D7:E7"/>
    <mergeCell ref="D8:E8"/>
    <mergeCell ref="D9:E9"/>
    <mergeCell ref="G8:H8"/>
    <mergeCell ref="G9:H9"/>
    <mergeCell ref="D22:D23"/>
    <mergeCell ref="B28:E28"/>
    <mergeCell ref="B22:B23"/>
    <mergeCell ref="C14:C16"/>
    <mergeCell ref="G28:H28"/>
    <mergeCell ref="E22:E23"/>
    <mergeCell ref="F22:F23"/>
    <mergeCell ref="D10:E10"/>
    <mergeCell ref="D11:E11"/>
    <mergeCell ref="B13:N13"/>
    <mergeCell ref="G14:G16"/>
    <mergeCell ref="M14:N15"/>
    <mergeCell ref="I10:K10"/>
    <mergeCell ref="G10:H10"/>
    <mergeCell ref="C22:C23"/>
    <mergeCell ref="K17:L17"/>
    <mergeCell ref="K18:L18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D14:D16"/>
    <mergeCell ref="I7:K7"/>
    <mergeCell ref="G25:I25"/>
    <mergeCell ref="J25:K25"/>
    <mergeCell ref="I8:K8"/>
    <mergeCell ref="L8:M8"/>
    <mergeCell ref="L9:M9"/>
    <mergeCell ref="H14:H16"/>
    <mergeCell ref="I9:K9"/>
    <mergeCell ref="I14:I16"/>
    <mergeCell ref="J14:L15"/>
    <mergeCell ref="J22:K23"/>
    <mergeCell ref="L10:M10"/>
    <mergeCell ref="K16:L16"/>
    <mergeCell ref="B21:L21"/>
    <mergeCell ref="K19:L19"/>
    <mergeCell ref="L22:L23"/>
    <mergeCell ref="G22:I23"/>
  </mergeCells>
  <dataValidations count="1"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E7FC8DA-921F-4D40-BDA3-A6CAC27A593E}">
          <x14:formula1>
            <xm:f>Settings!$D$3:$D$13</xm:f>
          </x14:formula1>
          <xm:sqref>D25</xm:sqref>
        </x14:dataValidation>
        <x14:dataValidation type="list" showInputMessage="1" showErrorMessage="1" xr:uid="{AD5AD409-9FCD-427B-BC1B-B361DFA13F22}">
          <x14:formula1>
            <xm:f>Settings!D2</xm:f>
          </x14:formula1>
          <xm:sqref>D26</xm:sqref>
        </x14:dataValidation>
        <x14:dataValidation type="list" allowBlank="1" showInputMessage="1" showErrorMessage="1" xr:uid="{059ACEDE-C29B-4454-B497-6154FD70DFB2}">
          <x14:formula1>
            <xm:f>Settings!$D$4:$D$13</xm:f>
          </x14:formula1>
          <xm:sqref>D24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4" sqref="D4:D13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4" x14ac:dyDescent="0.25">
      <c r="A1" s="1" t="s">
        <v>45</v>
      </c>
      <c r="B1" s="1" t="s">
        <v>46</v>
      </c>
      <c r="C1" s="33"/>
    </row>
    <row r="2" spans="1:4" x14ac:dyDescent="0.25">
      <c r="A2" t="s">
        <v>14</v>
      </c>
      <c r="B2" t="s">
        <v>2</v>
      </c>
      <c r="C2" s="117" t="e" vm="2">
        <v>#VALUE!</v>
      </c>
      <c r="D2" s="2"/>
    </row>
    <row r="3" spans="1:4" x14ac:dyDescent="0.25">
      <c r="A3" t="s">
        <v>15</v>
      </c>
      <c r="B3" t="s">
        <v>3</v>
      </c>
      <c r="C3" s="118"/>
    </row>
    <row r="4" spans="1:4" x14ac:dyDescent="0.25">
      <c r="A4" t="s">
        <v>16</v>
      </c>
      <c r="B4" t="s">
        <v>4</v>
      </c>
      <c r="C4" s="118"/>
      <c r="D4" t="s">
        <v>139</v>
      </c>
    </row>
    <row r="5" spans="1:4" x14ac:dyDescent="0.25">
      <c r="A5" t="s">
        <v>17</v>
      </c>
      <c r="B5" t="s">
        <v>5</v>
      </c>
      <c r="C5" s="118"/>
      <c r="D5" t="s">
        <v>130</v>
      </c>
    </row>
    <row r="6" spans="1:4" x14ac:dyDescent="0.25">
      <c r="A6" t="s">
        <v>20</v>
      </c>
      <c r="B6" t="s">
        <v>6</v>
      </c>
      <c r="C6" s="118"/>
      <c r="D6" t="s">
        <v>131</v>
      </c>
    </row>
    <row r="7" spans="1:4" x14ac:dyDescent="0.25">
      <c r="A7" t="s">
        <v>19</v>
      </c>
      <c r="B7" t="s">
        <v>7</v>
      </c>
      <c r="C7" s="119"/>
      <c r="D7" t="s">
        <v>132</v>
      </c>
    </row>
    <row r="8" spans="1:4" x14ac:dyDescent="0.25">
      <c r="A8" t="s">
        <v>18</v>
      </c>
      <c r="B8" t="s">
        <v>8</v>
      </c>
      <c r="D8" t="s">
        <v>133</v>
      </c>
    </row>
    <row r="9" spans="1:4" x14ac:dyDescent="0.25">
      <c r="A9" t="s">
        <v>0</v>
      </c>
      <c r="B9" t="s">
        <v>1</v>
      </c>
      <c r="D9" t="s">
        <v>134</v>
      </c>
    </row>
    <row r="10" spans="1:4" x14ac:dyDescent="0.25">
      <c r="A10" t="s">
        <v>59</v>
      </c>
      <c r="B10" t="s">
        <v>60</v>
      </c>
      <c r="D10" t="s">
        <v>135</v>
      </c>
    </row>
    <row r="11" spans="1:4" x14ac:dyDescent="0.25">
      <c r="A11" t="s">
        <v>104</v>
      </c>
      <c r="B11" t="s">
        <v>64</v>
      </c>
      <c r="D11" t="s">
        <v>136</v>
      </c>
    </row>
    <row r="12" spans="1:4" x14ac:dyDescent="0.25">
      <c r="A12" t="s">
        <v>103</v>
      </c>
      <c r="B12" t="s">
        <v>63</v>
      </c>
      <c r="D12" t="s">
        <v>137</v>
      </c>
    </row>
    <row r="13" spans="1:4" x14ac:dyDescent="0.25">
      <c r="A13" t="s">
        <v>105</v>
      </c>
      <c r="B13" t="s">
        <v>65</v>
      </c>
      <c r="D13" t="s">
        <v>138</v>
      </c>
    </row>
    <row r="14" spans="1:4" x14ac:dyDescent="0.25">
      <c r="A14" t="s">
        <v>106</v>
      </c>
      <c r="B14" t="s">
        <v>70</v>
      </c>
    </row>
    <row r="15" spans="1:4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7"/>
  </mergeCells>
  <dataValidations count="2">
    <dataValidation type="list" allowBlank="1" showInputMessage="1" showErrorMessage="1" sqref="AB20" xr:uid="{272AD199-7CF3-4211-A5B3-716ECB7FB017}">
      <formula1>$D$3:$D$13</formula1>
    </dataValidation>
    <dataValidation type="list" allowBlank="1" showInputMessage="1" showErrorMessage="1" sqref="D2" xr:uid="{F99A8BA3-0AD1-4E46-AFC3-988C0D106A4C}">
      <formula1>$D$4:$D$13</formula1>
    </dataValidation>
  </dataValidation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F53F630-5197-4AC7-9D63-97E2151598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2024-01-03T11:58:48Z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