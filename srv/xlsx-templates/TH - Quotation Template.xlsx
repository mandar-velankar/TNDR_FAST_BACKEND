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277" documentId="8_{DE39F225-2AE1-4446-AB5F-E204FEABCD0B}" xr6:coauthVersionLast="47" xr6:coauthVersionMax="47" xr10:uidLastSave="{E5C23729-F91F-43E4-9E3D-5496BB18429B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D9" i="3" l="1"/>
</calcChain>
</file>

<file path=xl/sharedStrings.xml><?xml version="1.0" encoding="utf-8"?>
<sst xmlns="http://schemas.openxmlformats.org/spreadsheetml/2006/main" count="168" uniqueCount="126">
  <si>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</si>
  <si>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</si>
  <si>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</si>
  <si>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</si>
  <si>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</si>
  <si>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</si>
  <si>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</si>
  <si>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</si>
  <si>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</si>
  <si>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</si>
  <si>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</si>
  <si>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</si>
  <si>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</si>
  <si>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</si>
  <si>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</si>
  <si>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</si>
  <si>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</si>
  <si>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</si>
  <si>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</si>
  <si>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</si>
  <si>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</si>
  <si>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</si>
  <si>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</si>
  <si>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</si>
  <si>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</si>
  <si>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</si>
  <si>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</si>
  <si>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</si>
  <si>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</si>
  <si>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</si>
  <si>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</si>
  <si>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</si>
  <si>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</si>
  <si>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</si>
  <si>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</si>
  <si>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</si>
  <si>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</si>
  <si>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</si>
  <si>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</si>
  <si>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</si>
  <si>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</si>
  <si>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</si>
  <si>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</si>
  <si>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</si>
  <si>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</si>
  <si>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</si>
  <si>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</si>
  <si>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</si>
  <si>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</si>
  <si>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</si>
  <si>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</si>
  <si>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</si>
  <si>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</si>
  <si>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</si>
  <si>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</si>
  <si>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</si>
  <si>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</si>
  <si>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</si>
  <si>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</si>
  <si>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</si>
  <si>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</si>
  <si>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</si>
  <si>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</si>
  <si>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</si>
  <si>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</si>
  <si>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</si>
  <si>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</si>
  <si>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</si>
  <si>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</si>
  <si>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</si>
  <si>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</si>
  <si>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</si>
  <si>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</si>
  <si>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</si>
  <si>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</si>
  <si>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</si>
  <si>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</si>
  <si>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</si>
  <si>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</si>
  <si>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</si>
  <si>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</si>
  <si>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</si>
  <si>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</si>
  <si>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</si>
  <si>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</si>
  <si>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</si>
  <si>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</si>
  <si>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</si>
  <si>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</si>
  <si>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</si>
  <si>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</si>
  <si>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</si>
  <si>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</si>
  <si>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</si>
  <si>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</si>
  <si>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</si>
  <si>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</si>
  <si>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</si>
  <si>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</si>
  <si>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</si>
  <si>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</si>
  <si>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</si>
  <si>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</si>
  <si>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</si>
  <si>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</si>
  <si>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</si>
  <si>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Approved by</t>
  </si>
  <si>
    <t>Name</t>
  </si>
  <si>
    <t>Position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</si>
  <si>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</si>
  <si>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</si>
  <si>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</si>
  <si>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</si>
  <si>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</si>
  <si>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</si>
  <si>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</si>
  <si>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</si>
  <si>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${offerProductValidation.NET_PRICE_UNIT_OFFER_CURRENCY_VAT}</t>
  </si>
  <si>
    <t>${table:offerProductValidation.NET_PRICE_PACK_OFFER_CURRENCY_VAT}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</si>
  <si>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</si>
  <si>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</si>
  <si>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</si>
  <si>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</si>
  <si>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incl. vat.(Pack)</t>
  </si>
  <si>
    <t>incl. vat.(Unit)</t>
  </si>
  <si>
    <t>${table:offerProductValidation.PRESENTATION}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</si>
</sst>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9" fillId="0" borderId="0" xfId="0" applyFont="1"/>
    <xf numFmtId="0" fontId="5" fillId="0" borderId="0" xfId="0" applyFont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3" fontId="5" fillId="0" borderId="5" xfId="1" applyFont="1" applyBorder="1" applyAlignment="1"/>
    <xf numFmtId="43" fontId="5" fillId="0" borderId="5" xfId="1" applyFont="1" applyBorder="1" applyAlignment="1">
      <alignment horizontal="left"/>
    </xf>
    <xf numFmtId="43" fontId="5" fillId="0" borderId="5" xfId="1" applyFont="1" applyFill="1" applyBorder="1" applyAlignment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 vertical="top"/>
    </xf>
    <xf numFmtId="49" fontId="5" fillId="0" borderId="7" xfId="0" applyNumberFormat="1" applyFont="1" applyBorder="1" applyAlignment="1">
      <alignment horizontal="center" vertical="top"/>
    </xf>
    <xf numFmtId="49" fontId="5" fillId="0" borderId="8" xfId="0" applyNumberFormat="1" applyFont="1" applyBorder="1" applyAlignment="1">
      <alignment horizontal="center" vertical="top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6" xfId="0" applyFont="1" applyFill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wrapText="1"/>
    </xf>
    <xf numFmtId="0" fontId="6" fillId="4" borderId="5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482600</xdr:colOff>
      <xdr:row>1</xdr:row>
      <xdr:rowOff>101600</xdr:rowOff>
    </xdr:from>
    <xdr:to>
      <xdr:col>15</xdr:col>
      <xdr:colOff>309931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W52" totalsRowShown="0" headerRowDxfId="6">
  <autoFilter ref="C17:W52" xr:uid="{2EFFBCB4-83C9-46C5-9D10-EDD296E322D9}"/>
  <tableColumns count="21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5" totalsRowShown="0" headerRowDxfId="0">
  <autoFilter ref="A1:B15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50"/>
  <sheetViews>
    <sheetView tabSelected="1" zoomScale="90" zoomScaleNormal="90" workbookViewId="0">
      <selection activeCell="I18" sqref="I18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7.5703125" customWidth="1"/>
    <col min="14" max="14" width="18.140625" customWidth="1"/>
    <col min="15" max="15" width="11.42578125" customWidth="1"/>
    <col min="16" max="16" width="15.28515625" customWidth="1"/>
    <col min="17" max="17" width="17.85546875" customWidth="1"/>
    <col min="18" max="18" width="18" customWidth="1"/>
  </cols>
  <sheetData>
    <row r="2" spans="2:17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7" x14ac:dyDescent="0.25">
      <c r="B3" s="35" t="s">
        <v>64</v>
      </c>
      <c r="C3" s="81" t="s">
        <v>109</v>
      </c>
      <c r="D3" s="82"/>
      <c r="E3" s="82"/>
      <c r="F3" s="82"/>
      <c r="G3" s="83"/>
      <c r="H3" s="10"/>
      <c r="I3" s="35" t="s">
        <v>65</v>
      </c>
      <c r="J3" s="81" t="s">
        <v>110</v>
      </c>
      <c r="K3" s="82"/>
      <c r="L3" s="82"/>
      <c r="M3" s="83"/>
      <c r="N3" s="10"/>
      <c r="O3" s="10"/>
      <c r="P3" s="10"/>
    </row>
    <row r="4" spans="2:17" ht="15" customHeight="1" x14ac:dyDescent="0.25">
      <c r="B4" s="124" t="s">
        <v>66</v>
      </c>
      <c r="C4" s="123" t="s">
        <v>111</v>
      </c>
      <c r="D4" s="123"/>
      <c r="E4" s="123"/>
      <c r="F4" s="123"/>
      <c r="G4" s="123"/>
      <c r="H4" s="10"/>
      <c r="I4" s="35" t="s">
        <v>66</v>
      </c>
      <c r="J4" s="120"/>
      <c r="K4" s="121"/>
      <c r="L4" s="121"/>
      <c r="M4" s="122"/>
      <c r="N4" s="10"/>
      <c r="O4" s="10"/>
      <c r="P4" s="10"/>
    </row>
    <row r="5" spans="2:17" x14ac:dyDescent="0.25">
      <c r="B5" s="124"/>
      <c r="C5" s="123"/>
      <c r="D5" s="123"/>
      <c r="E5" s="123"/>
      <c r="F5" s="123"/>
      <c r="G5" s="123"/>
      <c r="H5" s="10"/>
      <c r="I5" s="11"/>
      <c r="J5" s="12"/>
      <c r="K5" s="12"/>
      <c r="L5" s="12"/>
      <c r="M5" s="12"/>
      <c r="N5" s="10"/>
      <c r="O5" s="10"/>
      <c r="P5" s="10"/>
    </row>
    <row r="6" spans="2:17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2:17" x14ac:dyDescent="0.25">
      <c r="B7" s="54" t="s">
        <v>67</v>
      </c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6"/>
    </row>
    <row r="8" spans="2:17" ht="15" customHeight="1" x14ac:dyDescent="0.25">
      <c r="B8" s="113" t="s">
        <v>68</v>
      </c>
      <c r="C8" s="119"/>
      <c r="D8" s="62"/>
      <c r="E8" s="63"/>
      <c r="F8" s="64"/>
      <c r="G8" s="113" t="s">
        <v>69</v>
      </c>
      <c r="H8" s="114"/>
      <c r="I8" s="73"/>
      <c r="J8" s="74"/>
      <c r="K8" s="75"/>
      <c r="L8" s="79" t="s">
        <v>70</v>
      </c>
      <c r="M8" s="80"/>
      <c r="N8" s="71"/>
      <c r="O8" s="72"/>
      <c r="P8" s="29"/>
    </row>
    <row r="9" spans="2:17" ht="26.25" customHeight="1" x14ac:dyDescent="0.25">
      <c r="B9" s="113" t="s">
        <v>71</v>
      </c>
      <c r="C9" s="119"/>
      <c r="D9" s="62" t="str">
        <f>Settings!A14</f>
        <v>${offerValidation.CUSTOMER_CODE}</v>
      </c>
      <c r="E9" s="63"/>
      <c r="F9" s="64"/>
      <c r="G9" s="115" t="s">
        <v>72</v>
      </c>
      <c r="H9" s="116"/>
      <c r="I9" s="76" t="s">
        <v>17</v>
      </c>
      <c r="J9" s="77"/>
      <c r="K9" s="78"/>
      <c r="L9" s="79" t="s">
        <v>73</v>
      </c>
      <c r="M9" s="80"/>
      <c r="N9" s="71"/>
      <c r="O9" s="72"/>
      <c r="P9" s="29"/>
    </row>
    <row r="10" spans="2:17" ht="26.25" customHeight="1" x14ac:dyDescent="0.25">
      <c r="B10" s="113" t="s">
        <v>74</v>
      </c>
      <c r="C10" s="119"/>
      <c r="D10" s="62" t="str">
        <f>Settings!A9</f>
        <v>${offerValidation.INSTITUTENAME}</v>
      </c>
      <c r="E10" s="63"/>
      <c r="F10" s="64"/>
      <c r="G10" s="117" t="s">
        <v>5</v>
      </c>
      <c r="H10" s="118"/>
      <c r="I10" s="76" t="s">
        <v>18</v>
      </c>
      <c r="J10" s="77"/>
      <c r="K10" s="78"/>
      <c r="L10" s="79" t="s">
        <v>75</v>
      </c>
      <c r="M10" s="80"/>
      <c r="N10" s="71"/>
      <c r="O10" s="72"/>
      <c r="P10" s="29"/>
    </row>
    <row r="11" spans="2:17" x14ac:dyDescent="0.25">
      <c r="B11" s="113" t="s">
        <v>6</v>
      </c>
      <c r="C11" s="119"/>
      <c r="D11" s="65" t="s">
        <v>21</v>
      </c>
      <c r="E11" s="66"/>
      <c r="F11" s="67"/>
      <c r="G11" s="113" t="s">
        <v>7</v>
      </c>
      <c r="H11" s="114"/>
      <c r="I11" s="110" t="s">
        <v>20</v>
      </c>
      <c r="J11" s="111"/>
      <c r="K11" s="112"/>
      <c r="L11" s="79" t="s">
        <v>73</v>
      </c>
      <c r="M11" s="80"/>
      <c r="N11" s="71"/>
      <c r="O11" s="72"/>
      <c r="P11" s="29"/>
    </row>
    <row r="12" spans="2:17" x14ac:dyDescent="0.25">
      <c r="B12" s="113" t="s">
        <v>8</v>
      </c>
      <c r="C12" s="119"/>
      <c r="D12" s="65" t="s">
        <v>19</v>
      </c>
      <c r="E12" s="66"/>
      <c r="F12" s="67"/>
      <c r="G12" s="10"/>
      <c r="H12" s="10"/>
      <c r="I12" s="10"/>
      <c r="J12" s="10"/>
      <c r="K12" s="10"/>
      <c r="L12" s="10"/>
      <c r="M12" s="10"/>
      <c r="N12" s="10"/>
      <c r="O12" s="10"/>
    </row>
    <row r="13" spans="2:17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2:17" x14ac:dyDescent="0.25">
      <c r="B14" s="98" t="s">
        <v>76</v>
      </c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</row>
    <row r="15" spans="2:17" ht="15" customHeight="1" x14ac:dyDescent="0.25">
      <c r="B15" s="95" t="s">
        <v>77</v>
      </c>
      <c r="C15" s="59" t="s">
        <v>78</v>
      </c>
      <c r="D15" s="59" t="s">
        <v>79</v>
      </c>
      <c r="E15" s="59" t="s">
        <v>80</v>
      </c>
      <c r="F15" s="59" t="s">
        <v>115</v>
      </c>
      <c r="G15" s="59" t="s">
        <v>114</v>
      </c>
      <c r="H15" s="30" t="s">
        <v>9</v>
      </c>
      <c r="I15" s="59" t="s">
        <v>81</v>
      </c>
      <c r="J15" s="103" t="s">
        <v>10</v>
      </c>
      <c r="K15" s="104"/>
      <c r="L15" s="59" t="s">
        <v>82</v>
      </c>
      <c r="M15" s="103" t="s">
        <v>14</v>
      </c>
      <c r="N15" s="107"/>
      <c r="O15" s="107"/>
      <c r="P15" s="38" t="s">
        <v>83</v>
      </c>
      <c r="Q15" s="39"/>
    </row>
    <row r="16" spans="2:17" x14ac:dyDescent="0.25">
      <c r="B16" s="96"/>
      <c r="C16" s="60"/>
      <c r="D16" s="60"/>
      <c r="E16" s="60"/>
      <c r="F16" s="60"/>
      <c r="G16" s="60"/>
      <c r="H16" s="32"/>
      <c r="I16" s="60"/>
      <c r="J16" s="105"/>
      <c r="K16" s="106"/>
      <c r="L16" s="60"/>
      <c r="M16" s="108"/>
      <c r="N16" s="109"/>
      <c r="O16" s="109"/>
      <c r="P16" s="40"/>
      <c r="Q16" s="41"/>
    </row>
    <row r="17" spans="2:19" ht="25.5" x14ac:dyDescent="0.25">
      <c r="B17" s="97"/>
      <c r="C17" s="61"/>
      <c r="D17" s="61"/>
      <c r="E17" s="61"/>
      <c r="F17" s="61"/>
      <c r="G17" s="61"/>
      <c r="H17" s="31"/>
      <c r="I17" s="61"/>
      <c r="J17" s="13" t="s">
        <v>84</v>
      </c>
      <c r="K17" s="13" t="s">
        <v>85</v>
      </c>
      <c r="L17" s="61"/>
      <c r="M17" s="13" t="s">
        <v>84</v>
      </c>
      <c r="N17" s="13" t="s">
        <v>124</v>
      </c>
      <c r="O17" s="13" t="s">
        <v>123</v>
      </c>
      <c r="P17" s="13" t="s">
        <v>84</v>
      </c>
      <c r="Q17" s="13" t="s">
        <v>85</v>
      </c>
    </row>
    <row r="18" spans="2:19" ht="25.5" x14ac:dyDescent="0.25">
      <c r="B18" s="15" t="s">
        <v>44</v>
      </c>
      <c r="C18" s="15" t="s">
        <v>23</v>
      </c>
      <c r="D18" s="45" t="s">
        <v>113</v>
      </c>
      <c r="E18" s="43"/>
      <c r="F18" s="15" t="s">
        <v>28</v>
      </c>
      <c r="G18" s="47" t="s">
        <v>29</v>
      </c>
      <c r="H18" s="48" t="s">
        <v>24</v>
      </c>
      <c r="I18" s="15" t="s">
        <v>125</v>
      </c>
      <c r="J18" s="49" t="s">
        <v>32</v>
      </c>
      <c r="K18" s="50" t="s">
        <v>37</v>
      </c>
      <c r="L18" s="48" t="s">
        <v>27</v>
      </c>
      <c r="M18" s="49" t="s">
        <v>54</v>
      </c>
      <c r="N18" s="51" t="s">
        <v>119</v>
      </c>
      <c r="O18" s="33" t="s">
        <v>118</v>
      </c>
      <c r="P18" s="52" t="s">
        <v>56</v>
      </c>
      <c r="Q18" s="53" t="s">
        <v>58</v>
      </c>
      <c r="R18" s="46"/>
      <c r="S18" s="46"/>
    </row>
    <row r="19" spans="2:19" x14ac:dyDescent="0.25">
      <c r="B19" s="14"/>
      <c r="C19" s="14"/>
      <c r="D19" s="14"/>
      <c r="E19" s="43"/>
      <c r="F19" s="14"/>
      <c r="G19" s="33"/>
      <c r="H19" s="15"/>
      <c r="I19" s="14"/>
      <c r="J19" s="17"/>
      <c r="K19" s="17"/>
      <c r="L19" s="18"/>
      <c r="M19" s="16"/>
      <c r="N19" s="16"/>
      <c r="O19" s="33"/>
      <c r="P19" s="16"/>
      <c r="Q19" s="19"/>
    </row>
    <row r="20" spans="2:19" x14ac:dyDescent="0.25">
      <c r="B20" s="14"/>
      <c r="C20" s="14"/>
      <c r="D20" s="14"/>
      <c r="E20" s="43"/>
      <c r="F20" s="14"/>
      <c r="G20" s="33"/>
      <c r="H20" s="15"/>
      <c r="I20" s="14"/>
      <c r="J20" s="17"/>
      <c r="K20" s="17"/>
      <c r="L20" s="18"/>
      <c r="M20" s="16"/>
      <c r="N20" s="16"/>
      <c r="O20" s="33"/>
      <c r="P20" s="16"/>
      <c r="Q20" s="19"/>
    </row>
    <row r="21" spans="2:19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spans="2:19" x14ac:dyDescent="0.25">
      <c r="B22" s="98" t="s">
        <v>86</v>
      </c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10"/>
    </row>
    <row r="23" spans="2:19" x14ac:dyDescent="0.25">
      <c r="B23" s="99" t="s">
        <v>77</v>
      </c>
      <c r="C23" s="59" t="s">
        <v>78</v>
      </c>
      <c r="D23" s="100" t="s">
        <v>87</v>
      </c>
      <c r="E23" s="59" t="s">
        <v>88</v>
      </c>
      <c r="F23" s="59" t="s">
        <v>89</v>
      </c>
      <c r="G23" s="102" t="s">
        <v>90</v>
      </c>
      <c r="H23" s="102"/>
      <c r="I23" s="102"/>
      <c r="J23" s="102" t="s">
        <v>91</v>
      </c>
      <c r="K23" s="102"/>
      <c r="L23" s="102" t="s">
        <v>92</v>
      </c>
      <c r="M23" s="10"/>
    </row>
    <row r="24" spans="2:19" x14ac:dyDescent="0.25">
      <c r="B24" s="99"/>
      <c r="C24" s="61"/>
      <c r="D24" s="101"/>
      <c r="E24" s="61"/>
      <c r="F24" s="61"/>
      <c r="G24" s="102"/>
      <c r="H24" s="102"/>
      <c r="I24" s="102"/>
      <c r="J24" s="102"/>
      <c r="K24" s="102"/>
      <c r="L24" s="102"/>
      <c r="M24" s="10"/>
    </row>
    <row r="25" spans="2:19" x14ac:dyDescent="0.25">
      <c r="B25" s="14" t="s">
        <v>44</v>
      </c>
      <c r="C25" s="44" t="s">
        <v>23</v>
      </c>
      <c r="D25" s="34"/>
      <c r="E25" s="20"/>
      <c r="F25" s="20"/>
      <c r="G25" s="70"/>
      <c r="H25" s="70"/>
      <c r="I25" s="70"/>
      <c r="J25" s="71" t="s">
        <v>116</v>
      </c>
      <c r="K25" s="72"/>
      <c r="L25" s="20" t="s">
        <v>26</v>
      </c>
      <c r="M25" s="10"/>
    </row>
    <row r="26" spans="2:19" x14ac:dyDescent="0.25">
      <c r="B26" s="20"/>
      <c r="C26" s="20"/>
      <c r="D26" s="20"/>
      <c r="E26" s="20"/>
      <c r="F26" s="20"/>
      <c r="G26" s="68"/>
      <c r="H26" s="68"/>
      <c r="I26" s="68"/>
      <c r="J26" s="69"/>
      <c r="K26" s="69"/>
      <c r="L26" s="20"/>
      <c r="M26" s="10"/>
    </row>
    <row r="27" spans="2:19" x14ac:dyDescent="0.25">
      <c r="B27" s="20"/>
      <c r="C27" s="20"/>
      <c r="D27" s="20"/>
      <c r="E27" s="20"/>
      <c r="F27" s="20"/>
      <c r="G27" s="68"/>
      <c r="H27" s="68"/>
      <c r="I27" s="68"/>
      <c r="J27" s="69"/>
      <c r="K27" s="69"/>
      <c r="L27" s="20"/>
      <c r="M27" s="10"/>
    </row>
    <row r="28" spans="2:19" x14ac:dyDescent="0.25">
      <c r="B28" s="10"/>
      <c r="C28" s="10"/>
      <c r="D28" s="21"/>
      <c r="E28" s="10"/>
      <c r="F28" s="10"/>
      <c r="G28" s="10"/>
      <c r="H28" s="21"/>
      <c r="I28" s="10"/>
      <c r="J28" s="10"/>
      <c r="K28" s="10"/>
      <c r="L28" s="10"/>
      <c r="M28" s="10"/>
      <c r="N28" s="10"/>
      <c r="O28" s="10"/>
      <c r="P28" s="10"/>
    </row>
    <row r="29" spans="2:19" ht="15" customHeight="1" x14ac:dyDescent="0.25">
      <c r="B29" s="89" t="s">
        <v>93</v>
      </c>
      <c r="C29" s="89"/>
      <c r="D29" s="89"/>
      <c r="E29" s="89"/>
      <c r="F29" s="22"/>
      <c r="G29" s="90" t="s">
        <v>94</v>
      </c>
      <c r="H29" s="91"/>
      <c r="I29" s="36" t="s">
        <v>95</v>
      </c>
      <c r="J29" s="36"/>
      <c r="K29" s="36"/>
      <c r="L29" s="36"/>
      <c r="M29" s="10"/>
      <c r="N29" s="10"/>
    </row>
    <row r="30" spans="2:19" x14ac:dyDescent="0.25">
      <c r="B30" s="23" t="s">
        <v>96</v>
      </c>
      <c r="C30" s="24"/>
      <c r="D30" s="92"/>
      <c r="E30" s="92"/>
      <c r="F30" s="10"/>
      <c r="G30" s="93" t="s">
        <v>97</v>
      </c>
      <c r="H30" s="94"/>
      <c r="I30" s="65"/>
      <c r="J30" s="66"/>
      <c r="K30" s="66"/>
      <c r="L30" s="67"/>
      <c r="M30" s="10"/>
      <c r="N30" s="10"/>
    </row>
    <row r="31" spans="2:19" x14ac:dyDescent="0.25">
      <c r="B31" s="23" t="s">
        <v>98</v>
      </c>
      <c r="C31" s="24"/>
      <c r="D31" s="69"/>
      <c r="E31" s="69"/>
      <c r="F31" s="10"/>
      <c r="G31" s="93" t="s">
        <v>99</v>
      </c>
      <c r="H31" s="94"/>
      <c r="I31" s="65"/>
      <c r="J31" s="66"/>
      <c r="K31" s="66"/>
      <c r="L31" s="67"/>
      <c r="M31" s="10"/>
      <c r="N31" s="10"/>
    </row>
    <row r="32" spans="2:19" x14ac:dyDescent="0.25">
      <c r="B32" s="23" t="s">
        <v>100</v>
      </c>
      <c r="C32" s="24"/>
      <c r="D32" s="20"/>
      <c r="E32" s="25" t="s">
        <v>101</v>
      </c>
      <c r="F32" s="10"/>
      <c r="G32" s="93" t="s">
        <v>102</v>
      </c>
      <c r="H32" s="94"/>
      <c r="I32" s="65"/>
      <c r="J32" s="66"/>
      <c r="K32" s="66"/>
      <c r="L32" s="67"/>
      <c r="M32" s="10"/>
      <c r="N32" s="10"/>
    </row>
    <row r="33" spans="2:16" x14ac:dyDescent="0.25">
      <c r="B33" s="26" t="s">
        <v>103</v>
      </c>
      <c r="C33" s="27"/>
      <c r="D33" s="20"/>
      <c r="E33" s="25" t="s">
        <v>101</v>
      </c>
      <c r="F33" s="10"/>
      <c r="G33" s="87" t="s">
        <v>104</v>
      </c>
      <c r="H33" s="88"/>
      <c r="I33" s="81"/>
      <c r="J33" s="82"/>
      <c r="K33" s="82"/>
      <c r="L33" s="83"/>
    </row>
    <row r="34" spans="2:16" x14ac:dyDescent="0.25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x14ac:dyDescent="0.25">
      <c r="B35" s="84" t="s">
        <v>105</v>
      </c>
      <c r="C35" s="85"/>
      <c r="D35" s="85"/>
      <c r="E35" s="85"/>
      <c r="F35" s="86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spans="2:16" ht="15" customHeight="1" x14ac:dyDescent="0.25">
      <c r="B36" s="57" t="s">
        <v>122</v>
      </c>
      <c r="C36" s="57"/>
      <c r="D36" s="57"/>
      <c r="E36" s="57"/>
      <c r="F36" s="57"/>
      <c r="G36" s="42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58"/>
      <c r="C37" s="58"/>
      <c r="D37" s="58"/>
      <c r="E37" s="58"/>
      <c r="F37" s="58"/>
      <c r="G37" s="42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58"/>
      <c r="C38" s="58"/>
      <c r="D38" s="58"/>
      <c r="E38" s="58"/>
      <c r="F38" s="58"/>
      <c r="G38" s="42"/>
      <c r="H38" s="28" t="s">
        <v>106</v>
      </c>
      <c r="I38" s="10" t="s">
        <v>107</v>
      </c>
      <c r="K38" s="10"/>
      <c r="L38" s="10"/>
      <c r="M38" s="10"/>
      <c r="N38" s="10"/>
      <c r="O38" s="10"/>
      <c r="P38" s="10"/>
    </row>
    <row r="39" spans="2:16" x14ac:dyDescent="0.25">
      <c r="B39" s="58"/>
      <c r="C39" s="58"/>
      <c r="D39" s="58"/>
      <c r="E39" s="58"/>
      <c r="F39" s="58"/>
      <c r="G39" s="42"/>
      <c r="H39" s="10"/>
      <c r="I39" s="10" t="s">
        <v>108</v>
      </c>
      <c r="K39" s="10"/>
      <c r="L39" s="10"/>
      <c r="M39" s="10"/>
      <c r="N39" s="10"/>
      <c r="O39" s="10"/>
      <c r="P39" s="10"/>
    </row>
    <row r="40" spans="2:16" x14ac:dyDescent="0.25">
      <c r="B40" s="58"/>
      <c r="C40" s="58"/>
      <c r="D40" s="58"/>
      <c r="E40" s="58"/>
      <c r="F40" s="58"/>
      <c r="G40" s="42"/>
      <c r="H40" s="10"/>
      <c r="I40" s="10"/>
      <c r="K40" s="10"/>
      <c r="L40" s="10"/>
      <c r="M40" s="10"/>
      <c r="N40" s="10"/>
      <c r="O40" s="10"/>
      <c r="P40" s="10"/>
    </row>
    <row r="41" spans="2:16" x14ac:dyDescent="0.25">
      <c r="B41" s="42"/>
      <c r="C41" s="42"/>
      <c r="D41" s="42"/>
      <c r="E41" s="42"/>
      <c r="F41" s="42"/>
      <c r="G41" s="42"/>
      <c r="K41" s="21"/>
      <c r="L41" s="10"/>
      <c r="M41" s="10"/>
      <c r="N41" s="10"/>
      <c r="O41" s="10"/>
      <c r="P41" s="10"/>
    </row>
    <row r="42" spans="2:16" x14ac:dyDescent="0.25">
      <c r="B42" s="42"/>
      <c r="C42" s="42"/>
      <c r="D42" s="42"/>
      <c r="E42" s="42"/>
      <c r="F42" s="42"/>
      <c r="G42" s="42"/>
      <c r="H42" s="21"/>
      <c r="I42" s="10"/>
      <c r="J42" s="10"/>
      <c r="K42" s="21"/>
      <c r="L42" s="10"/>
      <c r="M42" s="10"/>
      <c r="N42" s="10"/>
      <c r="O42" s="10"/>
      <c r="P42" s="10"/>
    </row>
    <row r="43" spans="2:16" x14ac:dyDescent="0.25">
      <c r="B43" s="42"/>
      <c r="C43" s="42"/>
      <c r="D43" s="42"/>
      <c r="E43" s="42"/>
      <c r="F43" s="42"/>
      <c r="G43" s="42"/>
      <c r="K43" s="10"/>
    </row>
    <row r="44" spans="2:16" x14ac:dyDescent="0.25">
      <c r="B44" s="42"/>
      <c r="C44" s="42"/>
      <c r="D44" s="42"/>
      <c r="E44" s="42"/>
      <c r="F44" s="42"/>
      <c r="G44" s="42"/>
    </row>
    <row r="45" spans="2:16" x14ac:dyDescent="0.25">
      <c r="B45" s="42"/>
      <c r="C45" s="42"/>
      <c r="D45" s="42"/>
      <c r="E45" s="42"/>
      <c r="F45" s="42"/>
      <c r="G45" s="42"/>
    </row>
    <row r="46" spans="2:16" x14ac:dyDescent="0.25">
      <c r="B46" s="42"/>
      <c r="C46" s="42"/>
      <c r="D46" s="42"/>
      <c r="E46" s="42"/>
      <c r="F46" s="42"/>
      <c r="G46" s="42"/>
    </row>
    <row r="47" spans="2:16" x14ac:dyDescent="0.25">
      <c r="B47" s="42"/>
      <c r="C47" s="42"/>
      <c r="D47" s="42"/>
      <c r="E47" s="42"/>
      <c r="F47" s="42"/>
      <c r="G47" s="42"/>
    </row>
    <row r="48" spans="2:16" x14ac:dyDescent="0.25">
      <c r="B48" s="42"/>
      <c r="C48" s="42"/>
      <c r="D48" s="42"/>
      <c r="E48" s="42"/>
      <c r="F48" s="42"/>
      <c r="G48" s="42"/>
    </row>
    <row r="49" spans="2:7" x14ac:dyDescent="0.25">
      <c r="B49" s="42"/>
      <c r="C49" s="42"/>
      <c r="D49" s="42"/>
      <c r="E49" s="42"/>
      <c r="F49" s="42"/>
      <c r="G49" s="42"/>
    </row>
    <row r="50" spans="2:7" x14ac:dyDescent="0.25">
      <c r="B50" s="42"/>
      <c r="C50" s="42"/>
      <c r="D50" s="42"/>
      <c r="E50" s="42"/>
      <c r="F50" s="42"/>
      <c r="G50" s="42"/>
    </row>
  </sheetData>
  <mergeCells count="72">
    <mergeCell ref="J3:M3"/>
    <mergeCell ref="J4:M4"/>
    <mergeCell ref="C3:G3"/>
    <mergeCell ref="C4:G5"/>
    <mergeCell ref="B4:B5"/>
    <mergeCell ref="F15:F17"/>
    <mergeCell ref="M15:O16"/>
    <mergeCell ref="N8:O8"/>
    <mergeCell ref="N9:O9"/>
    <mergeCell ref="N10:O10"/>
    <mergeCell ref="I11:K11"/>
    <mergeCell ref="G8:H8"/>
    <mergeCell ref="G9:H9"/>
    <mergeCell ref="G10:H10"/>
    <mergeCell ref="G11:H11"/>
    <mergeCell ref="B14:Q14"/>
    <mergeCell ref="B12:C12"/>
    <mergeCell ref="B8:C8"/>
    <mergeCell ref="B9:C9"/>
    <mergeCell ref="B10:C10"/>
    <mergeCell ref="B11:C11"/>
    <mergeCell ref="B15:B17"/>
    <mergeCell ref="C15:C17"/>
    <mergeCell ref="D15:D17"/>
    <mergeCell ref="B22:L22"/>
    <mergeCell ref="B23:B24"/>
    <mergeCell ref="C23:C24"/>
    <mergeCell ref="D23:D24"/>
    <mergeCell ref="E23:E24"/>
    <mergeCell ref="F23:F24"/>
    <mergeCell ref="G23:I24"/>
    <mergeCell ref="J23:K24"/>
    <mergeCell ref="L23:L24"/>
    <mergeCell ref="G15:G17"/>
    <mergeCell ref="L15:L17"/>
    <mergeCell ref="J15:K16"/>
    <mergeCell ref="I15:I17"/>
    <mergeCell ref="B35:F35"/>
    <mergeCell ref="G33:H33"/>
    <mergeCell ref="B29:E29"/>
    <mergeCell ref="G29:H29"/>
    <mergeCell ref="D30:E30"/>
    <mergeCell ref="D31:E31"/>
    <mergeCell ref="G32:H32"/>
    <mergeCell ref="G30:H30"/>
    <mergeCell ref="G31:H31"/>
    <mergeCell ref="L11:M11"/>
    <mergeCell ref="I31:L31"/>
    <mergeCell ref="I32:L32"/>
    <mergeCell ref="I33:L33"/>
    <mergeCell ref="I30:L30"/>
    <mergeCell ref="I9:K9"/>
    <mergeCell ref="I10:K10"/>
    <mergeCell ref="L8:M8"/>
    <mergeCell ref="L9:M9"/>
    <mergeCell ref="L10:M10"/>
    <mergeCell ref="B7:O7"/>
    <mergeCell ref="B36:F40"/>
    <mergeCell ref="E15:E17"/>
    <mergeCell ref="D8:F8"/>
    <mergeCell ref="D9:F9"/>
    <mergeCell ref="D10:F10"/>
    <mergeCell ref="D11:F11"/>
    <mergeCell ref="D12:F12"/>
    <mergeCell ref="G26:I26"/>
    <mergeCell ref="J26:K26"/>
    <mergeCell ref="G27:I27"/>
    <mergeCell ref="J27:K27"/>
    <mergeCell ref="G25:I25"/>
    <mergeCell ref="J25:K25"/>
    <mergeCell ref="N11:O11"/>
    <mergeCell ref="I8:K8"/>
  </mergeCells>
  <dataValidations count="2">
    <dataValidation type="list" allowBlank="1" showInputMessage="1" showErrorMessage="1" sqref="D26:D27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2:E33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W52"/>
  <sheetViews>
    <sheetView topLeftCell="H1" zoomScale="85" zoomScaleNormal="85" workbookViewId="0">
      <selection activeCell="T18" sqref="T18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  <col min="22" max="22" width="30.42578125" customWidth="1"/>
    <col min="23" max="23" width="35.85546875" customWidth="1"/>
  </cols>
  <sheetData>
    <row r="1" spans="1:2" x14ac:dyDescent="0.25">
      <c r="A1" s="1" t="s">
        <v>46</v>
      </c>
      <c r="B1" s="1" t="s">
        <v>47</v>
      </c>
    </row>
    <row r="2" spans="1:2" x14ac:dyDescent="0.25">
      <c r="A2" t="s">
        <v>15</v>
      </c>
      <c r="B2" t="s">
        <v>2</v>
      </c>
    </row>
    <row r="3" spans="1:2" x14ac:dyDescent="0.25">
      <c r="A3" t="s">
        <v>16</v>
      </c>
      <c r="B3" t="s">
        <v>3</v>
      </c>
    </row>
    <row r="4" spans="1:2" x14ac:dyDescent="0.25">
      <c r="A4" t="s">
        <v>17</v>
      </c>
      <c r="B4" t="s">
        <v>4</v>
      </c>
    </row>
    <row r="5" spans="1:2" x14ac:dyDescent="0.25">
      <c r="A5" t="s">
        <v>18</v>
      </c>
      <c r="B5" t="s">
        <v>5</v>
      </c>
    </row>
    <row r="6" spans="1:2" x14ac:dyDescent="0.25">
      <c r="A6" t="s">
        <v>21</v>
      </c>
      <c r="B6" t="s">
        <v>6</v>
      </c>
    </row>
    <row r="7" spans="1:2" x14ac:dyDescent="0.25">
      <c r="A7" t="s">
        <v>20</v>
      </c>
      <c r="B7" t="s">
        <v>7</v>
      </c>
    </row>
    <row r="8" spans="1:2" x14ac:dyDescent="0.25">
      <c r="A8" t="s">
        <v>19</v>
      </c>
      <c r="B8" t="s">
        <v>8</v>
      </c>
    </row>
    <row r="9" spans="1:2" x14ac:dyDescent="0.25">
      <c r="A9" t="s">
        <v>0</v>
      </c>
      <c r="B9" t="s">
        <v>1</v>
      </c>
    </row>
    <row r="10" spans="1:2" x14ac:dyDescent="0.25">
      <c r="A10" t="s">
        <v>60</v>
      </c>
      <c r="B10" t="s">
        <v>61</v>
      </c>
    </row>
    <row r="11" spans="1:2" x14ac:dyDescent="0.25">
      <c r="A11" t="s">
        <v>110</v>
      </c>
      <c r="B11" t="s">
        <v>65</v>
      </c>
    </row>
    <row r="12" spans="1:2" x14ac:dyDescent="0.25">
      <c r="A12" t="s">
        <v>109</v>
      </c>
      <c r="B12" t="s">
        <v>64</v>
      </c>
    </row>
    <row r="13" spans="1:2" x14ac:dyDescent="0.25">
      <c r="A13" t="s">
        <v>111</v>
      </c>
      <c r="B13" t="s">
        <v>66</v>
      </c>
    </row>
    <row r="14" spans="1:2" x14ac:dyDescent="0.25">
      <c r="A14" t="s">
        <v>112</v>
      </c>
      <c r="B14" t="s">
        <v>71</v>
      </c>
    </row>
    <row r="15" spans="1:2" x14ac:dyDescent="0.25">
      <c r="A15" t="s">
        <v>117</v>
      </c>
      <c r="B15" s="37" t="s">
        <v>85</v>
      </c>
    </row>
    <row r="16" spans="1:2" x14ac:dyDescent="0.25">
      <c r="A16" s="1" t="s">
        <v>48</v>
      </c>
    </row>
    <row r="17" spans="1:23" x14ac:dyDescent="0.25">
      <c r="A17" s="7" t="s">
        <v>49</v>
      </c>
      <c r="B17" s="8" t="s">
        <v>50</v>
      </c>
      <c r="C17" s="2" t="s">
        <v>30</v>
      </c>
      <c r="D17" s="2" t="s">
        <v>31</v>
      </c>
      <c r="E17" s="2" t="s">
        <v>33</v>
      </c>
      <c r="F17" s="2" t="s">
        <v>35</v>
      </c>
      <c r="G17" s="2" t="s">
        <v>36</v>
      </c>
      <c r="H17" s="2" t="s">
        <v>39</v>
      </c>
      <c r="I17" s="2" t="s">
        <v>41</v>
      </c>
      <c r="J17" s="2" t="s">
        <v>43</v>
      </c>
      <c r="K17" s="2" t="s">
        <v>45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51</v>
      </c>
      <c r="Q17" s="2" t="s">
        <v>52</v>
      </c>
      <c r="R17" s="2" t="s">
        <v>53</v>
      </c>
      <c r="S17" s="2" t="s">
        <v>120</v>
      </c>
      <c r="T17" s="2" t="s">
        <v>121</v>
      </c>
      <c r="U17" s="2" t="s">
        <v>55</v>
      </c>
      <c r="V17" s="2" t="s">
        <v>57</v>
      </c>
      <c r="W17" s="2" t="s">
        <v>59</v>
      </c>
    </row>
    <row r="18" spans="1:23" x14ac:dyDescent="0.25">
      <c r="A18" s="3" t="s">
        <v>23</v>
      </c>
      <c r="B18" s="4" t="s">
        <v>22</v>
      </c>
      <c r="C18" t="s">
        <v>28</v>
      </c>
      <c r="D18" t="s">
        <v>29</v>
      </c>
      <c r="E18" s="9" t="s">
        <v>32</v>
      </c>
      <c r="F18" t="s">
        <v>34</v>
      </c>
      <c r="G18" s="9" t="s">
        <v>37</v>
      </c>
      <c r="H18" s="9" t="s">
        <v>38</v>
      </c>
      <c r="I18" s="9" t="s">
        <v>40</v>
      </c>
      <c r="J18" t="s">
        <v>42</v>
      </c>
      <c r="K18" t="s">
        <v>44</v>
      </c>
      <c r="L18" t="s">
        <v>24</v>
      </c>
      <c r="M18" t="s">
        <v>25</v>
      </c>
      <c r="N18" t="s">
        <v>26</v>
      </c>
      <c r="O18" t="s">
        <v>27</v>
      </c>
      <c r="P18" t="s">
        <v>63</v>
      </c>
      <c r="Q18" t="e">
        <f>IF(D18&gt;0,IF(D18="Unit",CONCATENATE(Settings!P18," ",Settings!D18,"s"),CONCATENATE((Settings!P18/Settings!L18)," ",Settings!D18,"s")),"")</f>
        <v>#VALUE!</v>
      </c>
      <c r="R18" t="s">
        <v>54</v>
      </c>
      <c r="S18" t="s">
        <v>118</v>
      </c>
      <c r="T18" t="s">
        <v>119</v>
      </c>
      <c r="U18" t="s">
        <v>56</v>
      </c>
      <c r="V18" t="s">
        <v>62</v>
      </c>
      <c r="W18" t="s">
        <v>58</v>
      </c>
    </row>
    <row r="19" spans="1:23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3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3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3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3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3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3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3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3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3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3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3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3" x14ac:dyDescent="0.25">
      <c r="A31" s="3"/>
      <c r="B31" s="4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3" x14ac:dyDescent="0.25">
      <c r="A32" s="3"/>
      <c r="B32" s="4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2023-10-09T07:30:39Z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