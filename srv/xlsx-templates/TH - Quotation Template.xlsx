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491" documentId="8_{DE39F225-2AE1-4446-AB5F-E204FEABCD0B}" xr6:coauthVersionLast="47" xr6:coauthVersionMax="47" xr10:uidLastSave="{6C11C3FC-06E5-4BCC-80FE-6D90FE054333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<sst xmlns="http://schemas.openxmlformats.org/spreadsheetml/2006/main" count="180" uniqueCount="133">
  <si>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</si>
  <si>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</si>
  <si>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</si>
  <si>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</si>
  <si>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</si>
  <si>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</si>
  <si>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</si>
  <si>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</si>
  <si>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</si>
  <si>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</si>
  <si>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</si>
  <si>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</si>
  <si>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</si>
  <si>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</si>
  <si>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</si>
  <si>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</si>
  <si>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</si>
  <si>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</si>
  <si>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</si>
  <si>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</si>
  <si>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</si>
  <si>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</si>
  <si>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</si>
  <si>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</si>
  <si>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</si>
  <si>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</si>
  <si>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</si>
  <si>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</si>
  <si>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</si>
  <si>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</si>
  <si>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</si>
  <si>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</si>
  <si>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</si>
  <si>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</si>
  <si>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</si>
  <si>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</si>
  <si>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</si>
  <si>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</si>
  <si>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</si>
  <si>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</si>
  <si>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</si>
  <si>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</si>
  <si>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</si>
  <si>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</si>
  <si>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</si>
  <si>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</si>
  <si>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</si>
  <si>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</si>
  <si>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</si>
  <si>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</si>
  <si>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</si>
  <si>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</si>
  <si>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</si>
  <si>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</si>
  <si>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</si>
  <si>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</si>
  <si>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</si>
  <si>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</si>
  <si>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</si>
  <si>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</si>
  <si>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</si>
  <si>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</si>
  <si>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</si>
  <si>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</si>
  <si>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</si>
  <si>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</si>
  <si>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</si>
  <si>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</si>
  <si>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</si>
  <si>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</si>
  <si>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</si>
  <si>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</si>
  <si>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</si>
  <si>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</si>
  <si>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</si>
  <si>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</si>
  <si>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</si>
  <si>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</si>
  <si>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</si>
  <si>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</si>
  <si>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</si>
  <si>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</si>
  <si>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</si>
  <si>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</si>
  <si>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</si>
  <si>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</si>
  <si>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</si>
  <si>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</si>
  <si>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</si>
  <si>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</si>
  <si>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</si>
  <si>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</si>
  <si>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</si>
  <si>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</si>
  <si>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</si>
  <si>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</si>
  <si>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</si>
  <si>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</si>
  <si>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</si>
  <si>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</si>
  <si>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</si>
  <si>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</si>
  <si>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</si>
  <si>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</si>
  <si>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</si>
  <si>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</si>
  <si>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</si>
  <si>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</si>
  <si>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</si>
  <si>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</si>
  <si>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</si>
  <si>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</si>
  <si>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</si>
  <si>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</si>
  <si>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</si>
  <si>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</si>
  <si>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</si>
  <si>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</si>
  <si>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</si>
  <si>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</si>
  <si>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</si>
  <si>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</si>
  <si>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</si>
  <si>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</si>
  <si>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</si>
  <si>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</si>
  <si>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</si>
  <si>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</si>
  <si>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</si>
  <si>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</si>
  <si>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</si>
  <si>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${table:offerProductValidation.NET_OFFER_PRICE}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</si>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</sst>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5" fillId="3" borderId="6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49" fontId="5" fillId="0" borderId="5" xfId="0" applyNumberFormat="1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43" fontId="5" fillId="0" borderId="8" xfId="1" applyFont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43" fontId="6" fillId="0" borderId="6" xfId="1" applyFont="1" applyBorder="1" applyAlignment="1">
      <alignment horizontal="center"/>
    </xf>
    <xf numFmtId="43" fontId="5" fillId="0" borderId="5" xfId="1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148166</xdr:colOff>
      <xdr:row>0</xdr:row>
      <xdr:rowOff>116416</xdr:rowOff>
    </xdr:from>
    <xdr:to>
      <xdr:col>15</xdr:col>
      <xdr:colOff>1519766</xdr:colOff>
      <xdr:row>7</xdr:row>
      <xdr:rowOff>154516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3F11885-C9F0-4058-833F-C71676B7D676}"/>
            </a:ext>
          </a:extLst>
        </xdr:cNvPr>
        <xdr:cNvSpPr/>
      </xdr:nvSpPr>
      <xdr:spPr>
        <a:xfrm>
          <a:off x="14668499" y="116416"/>
          <a:ext cx="1371600" cy="13716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 fLocksWithSheet="0"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49"/>
  <sheetViews>
    <sheetView tabSelected="1" topLeftCell="E14" zoomScale="90" zoomScaleNormal="90" workbookViewId="0">
      <selection activeCell="P27" sqref="P27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9.5703125" customWidth="1"/>
    <col min="14" max="14" width="18.140625" customWidth="1"/>
    <col min="15" max="15" width="4.7109375" customWidth="1"/>
    <col min="16" max="16" width="28.140625" customWidth="1"/>
    <col min="17" max="17" width="17.85546875" customWidth="1"/>
    <col min="18" max="18" width="11.85546875" customWidth="1"/>
  </cols>
  <sheetData>
    <row r="2" spans="2:18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8" x14ac:dyDescent="0.25">
      <c r="B3" s="27" t="s">
        <v>64</v>
      </c>
      <c r="C3" s="53" t="s">
        <v>105</v>
      </c>
      <c r="D3" s="54"/>
      <c r="E3" s="54"/>
      <c r="F3" s="54"/>
      <c r="G3" s="55"/>
      <c r="H3" s="10"/>
      <c r="I3" s="27" t="s">
        <v>65</v>
      </c>
      <c r="J3" s="53" t="s">
        <v>106</v>
      </c>
      <c r="K3" s="54"/>
      <c r="L3" s="54"/>
      <c r="M3" s="55"/>
      <c r="N3" s="10"/>
      <c r="O3" s="10"/>
      <c r="P3" s="10"/>
    </row>
    <row r="4" spans="2:18" ht="15" customHeight="1" x14ac:dyDescent="0.25">
      <c r="B4" s="28" t="s">
        <v>66</v>
      </c>
      <c r="C4" s="59" t="s">
        <v>107</v>
      </c>
      <c r="D4" s="60"/>
      <c r="E4" s="60"/>
      <c r="F4" s="60"/>
      <c r="G4" s="61"/>
      <c r="H4" s="10"/>
      <c r="I4" s="27" t="s">
        <v>66</v>
      </c>
      <c r="J4" s="56" t="s">
        <v>118</v>
      </c>
      <c r="K4" s="57"/>
      <c r="L4" s="57"/>
      <c r="M4" s="58"/>
      <c r="N4" s="10"/>
      <c r="O4" s="10"/>
      <c r="P4" s="10"/>
    </row>
    <row r="5" spans="2:18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8" x14ac:dyDescent="0.25">
      <c r="B6" s="102" t="s">
        <v>67</v>
      </c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4"/>
    </row>
    <row r="7" spans="2:18" ht="15" customHeight="1" x14ac:dyDescent="0.25">
      <c r="B7" s="43" t="s">
        <v>68</v>
      </c>
      <c r="C7" s="44"/>
      <c r="D7" s="59" t="s">
        <v>120</v>
      </c>
      <c r="E7" s="60"/>
      <c r="F7" s="61"/>
      <c r="G7" s="43" t="s">
        <v>69</v>
      </c>
      <c r="H7" s="73"/>
      <c r="I7" s="105" t="s">
        <v>119</v>
      </c>
      <c r="J7" s="106"/>
      <c r="K7" s="107"/>
      <c r="L7" s="108" t="s">
        <v>70</v>
      </c>
      <c r="M7" s="109"/>
      <c r="N7" s="68"/>
      <c r="O7" s="69"/>
      <c r="P7" s="25"/>
    </row>
    <row r="8" spans="2:18" ht="26.25" customHeight="1" x14ac:dyDescent="0.25">
      <c r="B8" s="43" t="s">
        <v>71</v>
      </c>
      <c r="C8" s="44"/>
      <c r="D8" s="59" t="str">
        <f>Settings!A14</f>
        <v>${offerValidation.CUSTOMER_CODE}</v>
      </c>
      <c r="E8" s="60"/>
      <c r="F8" s="61"/>
      <c r="G8" s="74" t="s">
        <v>72</v>
      </c>
      <c r="H8" s="75"/>
      <c r="I8" s="105" t="s">
        <v>17</v>
      </c>
      <c r="J8" s="106"/>
      <c r="K8" s="107"/>
      <c r="L8" s="108" t="s">
        <v>73</v>
      </c>
      <c r="M8" s="109"/>
      <c r="N8" s="68"/>
      <c r="O8" s="69"/>
      <c r="P8" s="25"/>
    </row>
    <row r="9" spans="2:18" ht="26.25" customHeight="1" x14ac:dyDescent="0.25">
      <c r="B9" s="43" t="s">
        <v>74</v>
      </c>
      <c r="C9" s="44"/>
      <c r="D9" s="59" t="str">
        <f>Settings!A9</f>
        <v>${offerValidation.INSTITUTENAME}</v>
      </c>
      <c r="E9" s="60"/>
      <c r="F9" s="61"/>
      <c r="G9" s="76" t="s">
        <v>5</v>
      </c>
      <c r="H9" s="77"/>
      <c r="I9" s="105" t="s">
        <v>18</v>
      </c>
      <c r="J9" s="106"/>
      <c r="K9" s="107"/>
      <c r="L9" s="108" t="s">
        <v>75</v>
      </c>
      <c r="M9" s="109"/>
      <c r="N9" s="68"/>
      <c r="O9" s="69"/>
      <c r="P9" s="25"/>
    </row>
    <row r="10" spans="2:18" x14ac:dyDescent="0.25">
      <c r="B10" s="43" t="s">
        <v>6</v>
      </c>
      <c r="C10" s="44"/>
      <c r="D10" s="86" t="s">
        <v>21</v>
      </c>
      <c r="E10" s="87"/>
      <c r="F10" s="88"/>
      <c r="G10" s="43" t="s">
        <v>7</v>
      </c>
      <c r="H10" s="73"/>
      <c r="I10" s="70" t="s">
        <v>20</v>
      </c>
      <c r="J10" s="71"/>
      <c r="K10" s="72"/>
      <c r="L10" s="108" t="s">
        <v>73</v>
      </c>
      <c r="M10" s="109"/>
      <c r="N10" s="68"/>
      <c r="O10" s="69"/>
      <c r="P10" s="25"/>
    </row>
    <row r="11" spans="2:18" x14ac:dyDescent="0.25">
      <c r="B11" s="43" t="s">
        <v>8</v>
      </c>
      <c r="C11" s="44"/>
      <c r="D11" s="86" t="s">
        <v>19</v>
      </c>
      <c r="E11" s="87"/>
      <c r="F11" s="88"/>
      <c r="G11" s="10"/>
      <c r="H11" s="10"/>
      <c r="I11" s="10"/>
      <c r="J11" s="10"/>
      <c r="K11" s="10"/>
      <c r="L11" s="10"/>
      <c r="M11" s="10"/>
      <c r="N11" s="10"/>
      <c r="O11" s="10"/>
    </row>
    <row r="12" spans="2:18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2:18" x14ac:dyDescent="0.25">
      <c r="B13" s="99" t="s">
        <v>76</v>
      </c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</row>
    <row r="14" spans="2:18" ht="15" customHeight="1" x14ac:dyDescent="0.25">
      <c r="B14" s="45" t="s">
        <v>77</v>
      </c>
      <c r="C14" s="48" t="s">
        <v>78</v>
      </c>
      <c r="D14" s="48" t="s">
        <v>79</v>
      </c>
      <c r="E14" s="48" t="s">
        <v>80</v>
      </c>
      <c r="F14" s="48" t="s">
        <v>111</v>
      </c>
      <c r="G14" s="48" t="s">
        <v>110</v>
      </c>
      <c r="H14" s="38" t="s">
        <v>9</v>
      </c>
      <c r="I14" s="48" t="s">
        <v>127</v>
      </c>
      <c r="J14" s="62" t="s">
        <v>10</v>
      </c>
      <c r="K14" s="64"/>
      <c r="L14" s="48" t="s">
        <v>81</v>
      </c>
      <c r="M14" s="62" t="s">
        <v>14</v>
      </c>
      <c r="N14" s="63"/>
      <c r="O14" s="64"/>
      <c r="P14" s="51" t="s">
        <v>82</v>
      </c>
      <c r="Q14" s="51"/>
      <c r="R14" s="51"/>
    </row>
    <row r="15" spans="2:18" x14ac:dyDescent="0.25">
      <c r="B15" s="46"/>
      <c r="C15" s="49"/>
      <c r="D15" s="49"/>
      <c r="E15" s="49"/>
      <c r="F15" s="49"/>
      <c r="G15" s="49"/>
      <c r="H15" s="39"/>
      <c r="I15" s="49"/>
      <c r="J15" s="65"/>
      <c r="K15" s="67"/>
      <c r="L15" s="49"/>
      <c r="M15" s="65"/>
      <c r="N15" s="66"/>
      <c r="O15" s="67"/>
      <c r="P15" s="51"/>
      <c r="Q15" s="51"/>
      <c r="R15" s="51"/>
    </row>
    <row r="16" spans="2:18" ht="25.5" customHeight="1" x14ac:dyDescent="0.25">
      <c r="B16" s="47"/>
      <c r="C16" s="50"/>
      <c r="D16" s="50"/>
      <c r="E16" s="50"/>
      <c r="F16" s="50"/>
      <c r="G16" s="50"/>
      <c r="H16" s="40"/>
      <c r="I16" s="50"/>
      <c r="J16" s="11" t="s">
        <v>83</v>
      </c>
      <c r="K16" s="11" t="s">
        <v>84</v>
      </c>
      <c r="L16" s="50"/>
      <c r="M16" s="11" t="s">
        <v>83</v>
      </c>
      <c r="N16" s="78" t="s">
        <v>84</v>
      </c>
      <c r="O16" s="79"/>
      <c r="P16" s="11" t="s">
        <v>83</v>
      </c>
      <c r="Q16" s="52" t="s">
        <v>84</v>
      </c>
      <c r="R16" s="52"/>
    </row>
    <row r="17" spans="2:19" x14ac:dyDescent="0.25">
      <c r="B17" s="26" t="s">
        <v>44</v>
      </c>
      <c r="C17" s="26" t="s">
        <v>23</v>
      </c>
      <c r="D17" s="26" t="s">
        <v>109</v>
      </c>
      <c r="E17" s="26" t="s">
        <v>128</v>
      </c>
      <c r="F17" s="26" t="s">
        <v>28</v>
      </c>
      <c r="G17" s="26" t="s">
        <v>29</v>
      </c>
      <c r="H17" s="26" t="s">
        <v>24</v>
      </c>
      <c r="I17" s="26" t="s">
        <v>117</v>
      </c>
      <c r="J17" s="26" t="s">
        <v>32</v>
      </c>
      <c r="K17" s="26" t="s">
        <v>37</v>
      </c>
      <c r="L17" s="26" t="s">
        <v>27</v>
      </c>
      <c r="M17" s="26" t="s">
        <v>131</v>
      </c>
      <c r="N17" s="26" t="s">
        <v>130</v>
      </c>
      <c r="O17" s="26"/>
      <c r="P17" s="26" t="s">
        <v>38</v>
      </c>
      <c r="Q17" s="26"/>
      <c r="R17" s="26"/>
      <c r="S17" s="33"/>
    </row>
    <row r="18" spans="2:19" x14ac:dyDescent="0.25">
      <c r="B18" s="12"/>
      <c r="C18" s="12"/>
      <c r="D18" s="12"/>
      <c r="E18" s="31"/>
      <c r="F18" s="12"/>
      <c r="G18" s="26"/>
      <c r="H18" s="13"/>
      <c r="I18" s="12"/>
      <c r="J18" s="15"/>
      <c r="K18" s="15"/>
      <c r="L18" s="16"/>
      <c r="M18" s="14"/>
      <c r="N18" s="111"/>
      <c r="O18" s="111"/>
      <c r="P18" s="26"/>
      <c r="Q18" s="26"/>
      <c r="R18" s="26"/>
    </row>
    <row r="19" spans="2:19" x14ac:dyDescent="0.25">
      <c r="B19" s="12"/>
      <c r="C19" s="12"/>
      <c r="D19" s="12"/>
      <c r="E19" s="31"/>
      <c r="F19" s="12"/>
      <c r="G19" s="26"/>
      <c r="H19" s="13"/>
      <c r="I19" s="12"/>
      <c r="J19" s="15"/>
      <c r="K19" s="15"/>
      <c r="L19" s="16"/>
      <c r="M19" s="14"/>
      <c r="N19" s="110" t="s">
        <v>132</v>
      </c>
      <c r="O19" s="101"/>
      <c r="P19" s="26" t="s">
        <v>56</v>
      </c>
      <c r="Q19" s="41" t="s">
        <v>58</v>
      </c>
      <c r="R19" s="42"/>
    </row>
    <row r="20" spans="2:19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9" x14ac:dyDescent="0.25">
      <c r="B21" s="99" t="s">
        <v>85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10"/>
    </row>
    <row r="22" spans="2:19" x14ac:dyDescent="0.25">
      <c r="B22" s="100" t="s">
        <v>77</v>
      </c>
      <c r="C22" s="62" t="s">
        <v>78</v>
      </c>
      <c r="D22" s="62" t="s">
        <v>86</v>
      </c>
      <c r="E22" s="48" t="s">
        <v>87</v>
      </c>
      <c r="F22" s="48" t="s">
        <v>88</v>
      </c>
      <c r="G22" s="51" t="s">
        <v>89</v>
      </c>
      <c r="H22" s="51"/>
      <c r="I22" s="51"/>
      <c r="J22" s="51" t="s">
        <v>90</v>
      </c>
      <c r="K22" s="51"/>
      <c r="L22" s="51" t="s">
        <v>91</v>
      </c>
      <c r="M22" s="10"/>
    </row>
    <row r="23" spans="2:19" x14ac:dyDescent="0.25">
      <c r="B23" s="100"/>
      <c r="C23" s="65"/>
      <c r="D23" s="65"/>
      <c r="E23" s="50"/>
      <c r="F23" s="50"/>
      <c r="G23" s="51"/>
      <c r="H23" s="51"/>
      <c r="I23" s="51"/>
      <c r="J23" s="51"/>
      <c r="K23" s="51"/>
      <c r="L23" s="51"/>
      <c r="M23" s="10"/>
    </row>
    <row r="24" spans="2:19" x14ac:dyDescent="0.25">
      <c r="B24" s="12" t="s">
        <v>44</v>
      </c>
      <c r="C24" s="32" t="s">
        <v>23</v>
      </c>
      <c r="D24" s="26"/>
      <c r="E24" s="17" t="s">
        <v>123</v>
      </c>
      <c r="F24" s="17" t="s">
        <v>124</v>
      </c>
      <c r="G24" s="95" t="s">
        <v>126</v>
      </c>
      <c r="H24" s="95"/>
      <c r="I24" s="95"/>
      <c r="J24" s="68" t="s">
        <v>112</v>
      </c>
      <c r="K24" s="69"/>
      <c r="L24" s="17" t="s">
        <v>26</v>
      </c>
      <c r="M24" s="10"/>
    </row>
    <row r="25" spans="2:19" x14ac:dyDescent="0.25">
      <c r="B25" s="17"/>
      <c r="C25" s="37"/>
      <c r="D25" s="17"/>
      <c r="E25" s="17"/>
      <c r="F25" s="17"/>
      <c r="G25" s="94"/>
      <c r="H25" s="94"/>
      <c r="I25" s="94"/>
      <c r="J25" s="83"/>
      <c r="K25" s="83"/>
      <c r="L25" s="17"/>
      <c r="M25" s="10"/>
    </row>
    <row r="26" spans="2:19" x14ac:dyDescent="0.25">
      <c r="B26" s="17"/>
      <c r="C26" s="37"/>
      <c r="D26" s="17"/>
      <c r="E26" s="17"/>
      <c r="F26" s="17"/>
      <c r="G26" s="94"/>
      <c r="H26" s="94"/>
      <c r="I26" s="94"/>
      <c r="J26" s="83"/>
      <c r="K26" s="83"/>
      <c r="L26" s="17"/>
      <c r="M26" s="10"/>
    </row>
    <row r="27" spans="2:19" x14ac:dyDescent="0.25">
      <c r="B27" s="10"/>
      <c r="C27" s="10"/>
      <c r="D27" s="18"/>
      <c r="E27" s="10"/>
      <c r="F27" s="10"/>
      <c r="G27" s="10"/>
      <c r="H27" s="18"/>
      <c r="I27" s="10"/>
      <c r="J27" s="10"/>
      <c r="K27" s="10"/>
      <c r="L27" s="10"/>
      <c r="M27" s="10"/>
      <c r="N27" s="10"/>
      <c r="O27" s="10"/>
      <c r="P27" s="10"/>
    </row>
    <row r="28" spans="2:19" ht="15" customHeight="1" x14ac:dyDescent="0.25">
      <c r="B28" s="98" t="s">
        <v>92</v>
      </c>
      <c r="C28" s="98"/>
      <c r="D28" s="98"/>
      <c r="E28" s="98"/>
      <c r="F28" s="19"/>
      <c r="G28" s="80" t="s">
        <v>93</v>
      </c>
      <c r="H28" s="81"/>
      <c r="I28" s="28" t="s">
        <v>94</v>
      </c>
      <c r="J28" s="28"/>
      <c r="K28" s="28"/>
      <c r="L28" s="28"/>
      <c r="M28" s="10"/>
      <c r="N28" s="10"/>
    </row>
    <row r="29" spans="2:19" x14ac:dyDescent="0.25">
      <c r="B29" s="20" t="s">
        <v>95</v>
      </c>
      <c r="C29" s="21"/>
      <c r="D29" s="82"/>
      <c r="E29" s="82"/>
      <c r="F29" s="10"/>
      <c r="G29" s="84" t="s">
        <v>96</v>
      </c>
      <c r="H29" s="85"/>
      <c r="I29" s="86"/>
      <c r="J29" s="87"/>
      <c r="K29" s="87"/>
      <c r="L29" s="88"/>
      <c r="M29" s="10"/>
      <c r="N29" s="10"/>
    </row>
    <row r="30" spans="2:19" x14ac:dyDescent="0.25">
      <c r="B30" s="20" t="s">
        <v>97</v>
      </c>
      <c r="C30" s="21"/>
      <c r="D30" s="83"/>
      <c r="E30" s="83"/>
      <c r="F30" s="10"/>
      <c r="G30" s="84" t="s">
        <v>98</v>
      </c>
      <c r="H30" s="85"/>
      <c r="I30" s="86"/>
      <c r="J30" s="87"/>
      <c r="K30" s="87"/>
      <c r="L30" s="88"/>
      <c r="M30" s="10"/>
      <c r="N30" s="10"/>
    </row>
    <row r="31" spans="2:19" x14ac:dyDescent="0.25">
      <c r="B31" s="20" t="s">
        <v>99</v>
      </c>
      <c r="C31" s="21"/>
      <c r="D31" s="17"/>
      <c r="E31" s="22" t="s">
        <v>100</v>
      </c>
      <c r="F31" s="10"/>
      <c r="G31" s="84" t="s">
        <v>101</v>
      </c>
      <c r="H31" s="85"/>
      <c r="I31" s="86"/>
      <c r="J31" s="87"/>
      <c r="K31" s="87"/>
      <c r="L31" s="88"/>
      <c r="M31" s="10"/>
      <c r="N31" s="10"/>
    </row>
    <row r="32" spans="2:19" x14ac:dyDescent="0.25">
      <c r="B32" s="23" t="s">
        <v>102</v>
      </c>
      <c r="C32" s="24"/>
      <c r="D32" s="17"/>
      <c r="E32" s="22" t="s">
        <v>100</v>
      </c>
      <c r="F32" s="10"/>
      <c r="G32" s="92" t="s">
        <v>103</v>
      </c>
      <c r="H32" s="93"/>
      <c r="I32" s="53"/>
      <c r="J32" s="54"/>
      <c r="K32" s="54"/>
      <c r="L32" s="55"/>
    </row>
    <row r="33" spans="2:16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2:16" x14ac:dyDescent="0.25">
      <c r="B34" s="89" t="s">
        <v>104</v>
      </c>
      <c r="C34" s="90"/>
      <c r="D34" s="90"/>
      <c r="E34" s="90"/>
      <c r="F34" s="91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ht="15" customHeight="1" x14ac:dyDescent="0.25">
      <c r="B35" s="96" t="s">
        <v>116</v>
      </c>
      <c r="C35" s="96"/>
      <c r="D35" s="96"/>
      <c r="E35" s="96"/>
      <c r="F35" s="96"/>
      <c r="G35" s="30"/>
      <c r="H35" s="10"/>
      <c r="I35" s="10"/>
      <c r="J35" s="10"/>
      <c r="K35" s="10"/>
      <c r="L35" s="10"/>
      <c r="M35" s="10"/>
      <c r="N35" s="10"/>
      <c r="O35" s="10"/>
      <c r="P35" s="10"/>
    </row>
    <row r="36" spans="2:16" x14ac:dyDescent="0.25">
      <c r="B36" s="97"/>
      <c r="C36" s="97"/>
      <c r="D36" s="97"/>
      <c r="E36" s="97"/>
      <c r="F36" s="97"/>
      <c r="G36" s="30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97"/>
      <c r="C37" s="97"/>
      <c r="D37" s="97"/>
      <c r="E37" s="97"/>
      <c r="F37" s="97"/>
      <c r="G37" s="30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97"/>
      <c r="C38" s="97"/>
      <c r="D38" s="97"/>
      <c r="E38" s="97"/>
      <c r="F38" s="97"/>
      <c r="G38" s="30"/>
      <c r="H38" s="10"/>
      <c r="I38" s="10"/>
      <c r="J38" s="10"/>
      <c r="K38" s="10"/>
      <c r="L38" s="10"/>
      <c r="M38" s="10"/>
      <c r="N38" s="10"/>
      <c r="O38" s="10"/>
      <c r="P38" s="10"/>
    </row>
    <row r="39" spans="2:16" x14ac:dyDescent="0.25">
      <c r="B39" s="97"/>
      <c r="C39" s="97"/>
      <c r="D39" s="97"/>
      <c r="E39" s="97"/>
      <c r="F39" s="97"/>
      <c r="G39" s="30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25">
      <c r="B40" s="30"/>
      <c r="C40" s="30"/>
      <c r="D40" s="30"/>
      <c r="E40" s="30"/>
      <c r="F40" s="30"/>
      <c r="G40" s="30"/>
      <c r="H40" s="10"/>
      <c r="I40" s="10"/>
      <c r="J40" s="10"/>
      <c r="K40" s="18"/>
      <c r="L40" s="10"/>
      <c r="M40" s="10"/>
      <c r="N40" s="10"/>
      <c r="O40" s="10"/>
      <c r="P40" s="10"/>
    </row>
    <row r="41" spans="2:16" x14ac:dyDescent="0.25">
      <c r="B41" s="30"/>
      <c r="C41" s="30"/>
      <c r="D41" s="30"/>
      <c r="E41" s="30"/>
      <c r="F41" s="30"/>
      <c r="G41" s="30"/>
      <c r="H41" s="25"/>
      <c r="I41" s="25"/>
      <c r="J41" s="25"/>
      <c r="K41" s="18"/>
      <c r="L41" s="10"/>
      <c r="M41" s="10"/>
      <c r="N41" s="10"/>
      <c r="O41" s="10"/>
      <c r="P41" s="10"/>
    </row>
    <row r="42" spans="2:16" x14ac:dyDescent="0.25">
      <c r="B42" s="30"/>
      <c r="C42" s="30"/>
      <c r="D42" s="30"/>
      <c r="E42" s="30"/>
      <c r="F42" s="30"/>
      <c r="G42" s="30"/>
      <c r="H42" s="25"/>
      <c r="I42" s="25"/>
      <c r="J42" s="25"/>
      <c r="K42" s="10"/>
    </row>
    <row r="43" spans="2:16" x14ac:dyDescent="0.25">
      <c r="B43" s="30"/>
      <c r="C43" s="30"/>
      <c r="D43" s="30"/>
      <c r="E43" s="30"/>
      <c r="F43" s="30"/>
      <c r="G43" s="30"/>
      <c r="H43" s="25"/>
      <c r="I43" s="25"/>
      <c r="J43" s="25"/>
    </row>
    <row r="44" spans="2:16" x14ac:dyDescent="0.25">
      <c r="B44" s="30"/>
      <c r="C44" s="30"/>
      <c r="D44" s="30"/>
      <c r="E44" s="30"/>
      <c r="F44" s="30"/>
      <c r="G44" s="30"/>
      <c r="H44" s="25"/>
      <c r="I44" s="25"/>
      <c r="J44" s="25"/>
    </row>
    <row r="45" spans="2:16" x14ac:dyDescent="0.25">
      <c r="B45" s="30"/>
      <c r="C45" s="30"/>
      <c r="D45" s="30"/>
      <c r="E45" s="30"/>
      <c r="F45" s="30"/>
      <c r="G45" s="30"/>
      <c r="H45" s="25"/>
      <c r="I45" s="25"/>
      <c r="J45" s="25"/>
    </row>
    <row r="46" spans="2:16" x14ac:dyDescent="0.25">
      <c r="B46" s="30"/>
      <c r="C46" s="30"/>
      <c r="D46" s="30"/>
      <c r="E46" s="30"/>
      <c r="F46" s="30"/>
      <c r="G46" s="30"/>
      <c r="H46" s="25"/>
      <c r="I46" s="25"/>
      <c r="J46" s="25"/>
    </row>
    <row r="47" spans="2:16" x14ac:dyDescent="0.25">
      <c r="B47" s="30"/>
      <c r="C47" s="30"/>
      <c r="D47" s="30"/>
      <c r="E47" s="30"/>
      <c r="F47" s="30"/>
      <c r="G47" s="30"/>
      <c r="H47" s="18"/>
      <c r="I47" s="10"/>
      <c r="J47" s="10"/>
    </row>
    <row r="48" spans="2:16" x14ac:dyDescent="0.25">
      <c r="B48" s="30"/>
      <c r="C48" s="30"/>
      <c r="D48" s="30"/>
      <c r="E48" s="30"/>
      <c r="F48" s="30"/>
      <c r="G48" s="30"/>
    </row>
    <row r="49" spans="2:7" x14ac:dyDescent="0.25">
      <c r="B49" s="30"/>
      <c r="C49" s="30"/>
      <c r="D49" s="30"/>
      <c r="E49" s="30"/>
      <c r="F49" s="30"/>
      <c r="G49" s="30"/>
    </row>
  </sheetData>
  <mergeCells count="77">
    <mergeCell ref="B7:C7"/>
    <mergeCell ref="B8:C8"/>
    <mergeCell ref="B9:C9"/>
    <mergeCell ref="B11:C11"/>
    <mergeCell ref="I7:K7"/>
    <mergeCell ref="I8:K8"/>
    <mergeCell ref="I9:K9"/>
    <mergeCell ref="L7:M7"/>
    <mergeCell ref="L8:M8"/>
    <mergeCell ref="L9:M9"/>
    <mergeCell ref="B35:F39"/>
    <mergeCell ref="E14:E16"/>
    <mergeCell ref="D7:F7"/>
    <mergeCell ref="D8:F8"/>
    <mergeCell ref="D9:F9"/>
    <mergeCell ref="D10:F10"/>
    <mergeCell ref="D11:F11"/>
    <mergeCell ref="B28:E28"/>
    <mergeCell ref="D14:D16"/>
    <mergeCell ref="B21:L21"/>
    <mergeCell ref="B22:B23"/>
    <mergeCell ref="C22:C23"/>
    <mergeCell ref="D22:D23"/>
    <mergeCell ref="E22:E23"/>
    <mergeCell ref="F22:F23"/>
    <mergeCell ref="G22:I23"/>
    <mergeCell ref="G25:I25"/>
    <mergeCell ref="J25:K25"/>
    <mergeCell ref="G26:I26"/>
    <mergeCell ref="J26:K26"/>
    <mergeCell ref="G24:I24"/>
    <mergeCell ref="J24:K24"/>
    <mergeCell ref="I30:L30"/>
    <mergeCell ref="I31:L31"/>
    <mergeCell ref="I32:L32"/>
    <mergeCell ref="I29:L29"/>
    <mergeCell ref="B34:F34"/>
    <mergeCell ref="G32:H32"/>
    <mergeCell ref="G28:H28"/>
    <mergeCell ref="D29:E29"/>
    <mergeCell ref="D30:E30"/>
    <mergeCell ref="G31:H31"/>
    <mergeCell ref="G29:H29"/>
    <mergeCell ref="G30:H30"/>
    <mergeCell ref="J22:K23"/>
    <mergeCell ref="L22:L23"/>
    <mergeCell ref="G14:G16"/>
    <mergeCell ref="L14:L16"/>
    <mergeCell ref="J14:K15"/>
    <mergeCell ref="I14:I16"/>
    <mergeCell ref="J3:M3"/>
    <mergeCell ref="J4:M4"/>
    <mergeCell ref="C3:G3"/>
    <mergeCell ref="C4:G4"/>
    <mergeCell ref="F14:F16"/>
    <mergeCell ref="M14:O15"/>
    <mergeCell ref="N7:O7"/>
    <mergeCell ref="N8:O8"/>
    <mergeCell ref="N9:O9"/>
    <mergeCell ref="I10:K10"/>
    <mergeCell ref="G7:H7"/>
    <mergeCell ref="G8:H8"/>
    <mergeCell ref="G9:H9"/>
    <mergeCell ref="N16:O16"/>
    <mergeCell ref="G10:H10"/>
    <mergeCell ref="B6:O6"/>
    <mergeCell ref="Q19:R19"/>
    <mergeCell ref="B10:C10"/>
    <mergeCell ref="B14:B16"/>
    <mergeCell ref="C14:C16"/>
    <mergeCell ref="B13:R13"/>
    <mergeCell ref="P14:R15"/>
    <mergeCell ref="Q16:R16"/>
    <mergeCell ref="N18:O18"/>
    <mergeCell ref="N19:O19"/>
    <mergeCell ref="N10:O10"/>
    <mergeCell ref="L10:M10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O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6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46</v>
      </c>
      <c r="B1" s="1" t="s">
        <v>47</v>
      </c>
      <c r="C1" s="35"/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60</v>
      </c>
      <c r="B10" t="s">
        <v>61</v>
      </c>
    </row>
    <row r="11" spans="1:3" x14ac:dyDescent="0.25">
      <c r="A11" t="s">
        <v>106</v>
      </c>
      <c r="B11" t="s">
        <v>65</v>
      </c>
    </row>
    <row r="12" spans="1:3" x14ac:dyDescent="0.25">
      <c r="A12" t="s">
        <v>105</v>
      </c>
      <c r="B12" t="s">
        <v>64</v>
      </c>
    </row>
    <row r="13" spans="1:3" x14ac:dyDescent="0.25">
      <c r="A13" t="s">
        <v>107</v>
      </c>
      <c r="B13" t="s">
        <v>66</v>
      </c>
    </row>
    <row r="14" spans="1:3" x14ac:dyDescent="0.25">
      <c r="A14" t="s">
        <v>108</v>
      </c>
      <c r="B14" t="s">
        <v>71</v>
      </c>
    </row>
    <row r="15" spans="1:3" x14ac:dyDescent="0.25">
      <c r="A15" t="s">
        <v>129</v>
      </c>
      <c r="B15" t="s">
        <v>121</v>
      </c>
    </row>
    <row r="17" spans="1:27" x14ac:dyDescent="0.25">
      <c r="B17" s="34"/>
      <c r="C17" s="29"/>
    </row>
    <row r="18" spans="1:27" x14ac:dyDescent="0.25">
      <c r="A18" s="1" t="s">
        <v>48</v>
      </c>
    </row>
    <row r="19" spans="1:27" x14ac:dyDescent="0.25">
      <c r="A19" s="7" t="s">
        <v>49</v>
      </c>
      <c r="B19" s="8" t="s">
        <v>50</v>
      </c>
      <c r="C19" s="36" t="s">
        <v>122</v>
      </c>
      <c r="D19" s="2" t="s">
        <v>30</v>
      </c>
      <c r="E19" s="2" t="s">
        <v>31</v>
      </c>
      <c r="F19" s="2" t="s">
        <v>33</v>
      </c>
      <c r="G19" s="2" t="s">
        <v>35</v>
      </c>
      <c r="H19" s="2" t="s">
        <v>36</v>
      </c>
      <c r="I19" s="2" t="s">
        <v>39</v>
      </c>
      <c r="J19" s="2" t="s">
        <v>41</v>
      </c>
      <c r="K19" s="2" t="s">
        <v>43</v>
      </c>
      <c r="L19" s="2" t="s">
        <v>45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51</v>
      </c>
      <c r="R19" s="2" t="s">
        <v>52</v>
      </c>
      <c r="S19" s="2" t="s">
        <v>53</v>
      </c>
      <c r="T19" s="2" t="s">
        <v>114</v>
      </c>
      <c r="U19" s="2" t="s">
        <v>115</v>
      </c>
      <c r="V19" s="2" t="s">
        <v>55</v>
      </c>
      <c r="W19" s="2" t="s">
        <v>57</v>
      </c>
      <c r="X19" s="2" t="s">
        <v>88</v>
      </c>
      <c r="Y19" s="2" t="s">
        <v>125</v>
      </c>
      <c r="Z19" s="2" t="s">
        <v>87</v>
      </c>
      <c r="AA19" s="2" t="s">
        <v>59</v>
      </c>
    </row>
    <row r="20" spans="1:27" x14ac:dyDescent="0.25">
      <c r="A20" s="3" t="s">
        <v>23</v>
      </c>
      <c r="B20" s="4" t="s">
        <v>22</v>
      </c>
      <c r="C20" s="26" t="s">
        <v>128</v>
      </c>
      <c r="D20" t="s">
        <v>28</v>
      </c>
      <c r="E20" t="s">
        <v>29</v>
      </c>
      <c r="F20" s="9" t="s">
        <v>32</v>
      </c>
      <c r="G20" t="s">
        <v>34</v>
      </c>
      <c r="H20" s="9" t="s">
        <v>37</v>
      </c>
      <c r="I20" s="9" t="s">
        <v>38</v>
      </c>
      <c r="J20" s="9" t="s">
        <v>40</v>
      </c>
      <c r="K20" t="s">
        <v>42</v>
      </c>
      <c r="L20" t="s">
        <v>44</v>
      </c>
      <c r="M20" t="s">
        <v>24</v>
      </c>
      <c r="N20" t="s">
        <v>25</v>
      </c>
      <c r="O20" t="s">
        <v>26</v>
      </c>
      <c r="P20" t="s">
        <v>27</v>
      </c>
      <c r="Q20" t="s">
        <v>63</v>
      </c>
      <c r="R20" t="e">
        <f>IF(E20&gt;0,IF(E20="Unit",CONCATENATE(Settings!Q20," ",Settings!E20,"s"),CONCATENATE((Settings!Q20/Settings!M20)," ",Settings!E20,"s")),"")</f>
        <v>#VALUE!</v>
      </c>
      <c r="S20" t="s">
        <v>54</v>
      </c>
      <c r="T20" t="s">
        <v>130</v>
      </c>
      <c r="U20" t="s">
        <v>113</v>
      </c>
      <c r="V20" t="s">
        <v>56</v>
      </c>
      <c r="W20" t="s">
        <v>62</v>
      </c>
      <c r="X20" t="s">
        <v>124</v>
      </c>
      <c r="Y20" t="s">
        <v>126</v>
      </c>
      <c r="Z20" t="s">
        <v>123</v>
      </c>
      <c r="AA20" t="s">
        <v>58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2023-12-20T06:01:58Z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