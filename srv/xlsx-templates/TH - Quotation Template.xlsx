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VasudevanMariyappan\Downloads\"/>
    </mc:Choice>
  </mc:AlternateContent>
  <xr:revisionPtr revIDLastSave="0" documentId="13_ncr:1_{F79F8BF2-7D91-4911-AE89-40B55E526571}" xr6:coauthVersionLast="47" xr6:coauthVersionMax="47" xr10:uidLastSave="{00000000-0000-0000-0000-000000000000}"/>
  <bookViews>
    <workbookView xWindow="-110" yWindow="-110" windowWidth="19420" windowHeight="10300" tabRatio="500" xr2:uid="{00000000-000D-0000-FFFF-FFFF00000000}"/>
  </bookViews>
  <sheets>
    <sheet name="Quotation" sheetId="1" r:id="rId1"/>
    <sheet name="Setting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R54" i="2" l="1"/>
  <c r="R53" i="2"/>
  <c r="R52" i="2"/>
  <c r="R51" i="2"/>
  <c r="R50" i="2"/>
  <c r="R49" i="2"/>
  <c r="R48" i="2"/>
  <c r="R47" i="2"/>
  <c r="R46" i="2"/>
  <c r="R45" i="2"/>
  <c r="R44" i="2"/>
  <c r="R43" i="2"/>
  <c r="R42" i="2"/>
  <c r="R41" i="2"/>
  <c r="R40" i="2"/>
  <c r="R39" i="2"/>
  <c r="R38" i="2"/>
  <c r="R37" i="2"/>
  <c r="R36" i="2"/>
  <c r="R35" i="2"/>
  <c r="R34" i="2"/>
  <c r="R33" i="2"/>
  <c r="R32" i="2"/>
  <c r="R31" i="2"/>
  <c r="R30" i="2"/>
  <c r="R29" i="2"/>
  <c r="R28" i="2"/>
  <c r="R27" i="2"/>
  <c r="R26" i="2"/>
  <c r="R25" i="2"/>
  <c r="R24" i="2"/>
  <c r="R23" i="2"/>
  <c r="R22" i="2"/>
  <c r="R21" i="2"/>
  <c r="R20" i="2"/>
  <c r="D11" i="1"/>
  <c r="D10" i="1"/>
</calcChain>
</file>

<file path=xl/sharedStrings.xml><?xml version="1.0" encoding="utf-8"?>
<sst xmlns="http://schemas.openxmlformats.org/spreadsheetml/2006/main" count="197" uniqueCount="154">
  <si>
    <t>Offered Party</t>
  </si>
  <si>
    <t>${offerValidation.DISTRIBUTORNAME}</t>
  </si>
  <si>
    <t>Selling Company</t>
  </si>
  <si>
    <t>${offerValidation.SELLINGCOMPANY}</t>
  </si>
  <si>
    <t>Address</t>
  </si>
  <si>
    <t>${offerValidation.DISTRIBUTORADDRESS}</t>
  </si>
  <si>
    <t>130/1 North Sathon Road, Silom, Bangrak, Bangkok 10500</t>
  </si>
  <si>
    <t>Offer Request Information</t>
  </si>
  <si>
    <t>FAST Request ID</t>
  </si>
  <si>
    <t xml:space="preserve">${offerValidation.TENDERID}		</t>
  </si>
  <si>
    <t>Material Group</t>
  </si>
  <si>
    <t>0100</t>
  </si>
  <si>
    <t>Requestor Name</t>
  </si>
  <si>
    <t>${offerValidation.TENDER_SUBMITTED_BY}</t>
  </si>
  <si>
    <t>Customer ID</t>
  </si>
  <si>
    <t>Offer Approval Date</t>
  </si>
  <si>
    <t>${offerValidation.OFFERDATE}</t>
  </si>
  <si>
    <t>Contact Information</t>
  </si>
  <si>
    <t>${offerValidation.RequestorPphoneNnumber}</t>
  </si>
  <si>
    <t>Customer Name</t>
  </si>
  <si>
    <t>Offer Validity</t>
  </si>
  <si>
    <t>${offerValidation.OFFERVALIDITY}</t>
  </si>
  <si>
    <t>Bayer Representative</t>
  </si>
  <si>
    <t>${offerValidation.BayerRepresentativeName}</t>
  </si>
  <si>
    <t>Shipment Terms</t>
  </si>
  <si>
    <t>${offerValidation.SHIPMENTTERMS}</t>
  </si>
  <si>
    <t>Payment Terms</t>
  </si>
  <si>
    <t>${offerValidation.PAYMENTTERMS}</t>
  </si>
  <si>
    <t>${offerValidation.BayerRepresentativePhoneNumber}</t>
  </si>
  <si>
    <t>Delivery Terms</t>
  </si>
  <si>
    <t>${offerValidation.DELIVERYTERMS}</t>
  </si>
  <si>
    <t>Job Type</t>
  </si>
  <si>
    <t>${offerValidation.CLASSIFICATION} ${offerValidation.PROCUREMENT_REASON}</t>
  </si>
  <si>
    <t>Price Quotation</t>
  </si>
  <si>
    <t>No.</t>
  </si>
  <si>
    <t>Material Code</t>
  </si>
  <si>
    <t>Product Name</t>
  </si>
  <si>
    <t>Product Generic Name</t>
  </si>
  <si>
    <t xml:space="preserve">Offer QTY 
</t>
  </si>
  <si>
    <t>UOM</t>
  </si>
  <si>
    <t>Pack Factor</t>
  </si>
  <si>
    <t>Unit Dosage</t>
  </si>
  <si>
    <t>MSP</t>
  </si>
  <si>
    <t>Total Offer Value</t>
  </si>
  <si>
    <t>excl. vat.</t>
  </si>
  <si>
    <t>incl. vat.</t>
  </si>
  <si>
    <t>${table:offerProductValidation.SORTER}</t>
  </si>
  <si>
    <t>${table:offerProductValidation.CODE1}</t>
  </si>
  <si>
    <t>${table:offerProductValidation.PRODUCTNAME}</t>
  </si>
  <si>
    <t>${table:offerProductValidation.PRODUCTGENERICNAME}</t>
  </si>
  <si>
    <t>${table:offerProductValidation.PAID_VOLUME}</t>
  </si>
  <si>
    <t>${table:offerProductValidation.UNIT}</t>
  </si>
  <si>
    <t>${table:offerProductValidation.PACKSIZE}</t>
  </si>
  <si>
    <t>${table:offerProductValidation.PRESENTATION}</t>
  </si>
  <si>
    <t>${table:offerProductValidation.OFFER_PRICE}</t>
  </si>
  <si>
    <t>${table:offerProductValidation.OFFER_PRICE_VAT}</t>
  </si>
  <si>
    <t>${table:offerProductValidation.GROSS_SALES_OFFER_CURRENCY}</t>
  </si>
  <si>
    <t>${table:offerProductValidation.GROSS_SALES_OFFER_CURRENCY_VAT}</t>
  </si>
  <si>
    <t>Total</t>
  </si>
  <si>
    <t>${offerValidation.AMOUNT_IN_NUMBERS}</t>
  </si>
  <si>
    <t>${offerValidation.AMOUNT_IN_NUMBERS_VAT}</t>
  </si>
  <si>
    <t>Product Offer Information</t>
  </si>
  <si>
    <t>Tender Announcement Reference</t>
  </si>
  <si>
    <t>Tender Item Number</t>
  </si>
  <si>
    <t>Offer Pack Description</t>
  </si>
  <si>
    <t>GPU</t>
  </si>
  <si>
    <t>TPU</t>
  </si>
  <si>
    <t>THCC 
(24 Digit Code)</t>
  </si>
  <si>
    <t>Manufacturer</t>
  </si>
  <si>
    <t>Country of Origin</t>
  </si>
  <si>
    <t>${table:offerProductValidation.TenderAnnouncementReference}</t>
  </si>
  <si>
    <t>${table:offerProductValidation.ItemNumber}</t>
  </si>
  <si>
    <t>${table:offerProductValidation.CODE2}</t>
  </si>
  <si>
    <t>${table:offerProductValidation.CODE3}</t>
  </si>
  <si>
    <t>${table:offerProductValidation.GOV_CODE}</t>
  </si>
  <si>
    <t>${table:offerProductValidation.MANUFACTURER}</t>
  </si>
  <si>
    <t>${table:offerProductValidation.COUNTRYOFORIGIN}</t>
  </si>
  <si>
    <t>Customer Request Information</t>
  </si>
  <si>
    <t>Quotation Delivery Channels</t>
  </si>
  <si>
    <t>Receiver Information (Name)</t>
  </si>
  <si>
    <r>
      <rPr>
        <sz val="10"/>
        <color theme="8"/>
        <rFont val="Calibri"/>
        <family val="2"/>
        <charset val="1"/>
      </rPr>
      <t>Quotation Date (</t>
    </r>
    <r>
      <rPr>
        <sz val="10"/>
        <color theme="8"/>
        <rFont val="FreeSans"/>
        <family val="2"/>
      </rPr>
      <t>วันที่</t>
    </r>
    <r>
      <rPr>
        <sz val="10"/>
        <color theme="8"/>
        <rFont val="Calibri"/>
        <family val="2"/>
        <charset val="1"/>
      </rPr>
      <t>)</t>
    </r>
  </si>
  <si>
    <t>${offerValidation.QuotationDate}</t>
  </si>
  <si>
    <t>${table:quotationDelevery.QuotationDeliverymethod}</t>
  </si>
  <si>
    <t>${table:quotationDelevery.QuotationRecipientname}</t>
  </si>
  <si>
    <t>${table:quotationDelevery.QuotationRecipientcontact}</t>
  </si>
  <si>
    <r>
      <rPr>
        <sz val="10"/>
        <color theme="8"/>
        <rFont val="Calibri"/>
        <family val="2"/>
        <charset val="1"/>
      </rPr>
      <t>Attention to (</t>
    </r>
    <r>
      <rPr>
        <sz val="10"/>
        <color theme="8"/>
        <rFont val="FreeSans"/>
        <family val="2"/>
      </rPr>
      <t>เรียน</t>
    </r>
    <r>
      <rPr>
        <sz val="10"/>
        <color theme="8"/>
        <rFont val="Calibri"/>
        <family val="2"/>
        <charset val="1"/>
      </rPr>
      <t>)</t>
    </r>
  </si>
  <si>
    <t>${offerValidation.AttentionTo}</t>
  </si>
  <si>
    <r>
      <rPr>
        <sz val="10"/>
        <color theme="8"/>
        <rFont val="Calibri"/>
        <family val="2"/>
        <charset val="1"/>
      </rPr>
      <t>Validity Period (</t>
    </r>
    <r>
      <rPr>
        <sz val="10"/>
        <color theme="8"/>
        <rFont val="FreeSans"/>
        <family val="2"/>
      </rPr>
      <t>กำหนดยืนราคา</t>
    </r>
    <r>
      <rPr>
        <sz val="10"/>
        <color theme="8"/>
        <rFont val="Calibri"/>
        <family val="2"/>
        <charset val="1"/>
      </rPr>
      <t>)</t>
    </r>
  </si>
  <si>
    <t>${offerValidation.ContractLength}</t>
  </si>
  <si>
    <t>${offerValidation.ContractLenghtUnit}</t>
  </si>
  <si>
    <r>
      <rPr>
        <sz val="10"/>
        <color theme="8"/>
        <rFont val="Calibri"/>
        <family val="2"/>
        <charset val="1"/>
      </rPr>
      <t>Delivery Due (</t>
    </r>
    <r>
      <rPr>
        <sz val="10"/>
        <color theme="8"/>
        <rFont val="FreeSans"/>
        <family val="2"/>
      </rPr>
      <t>กำหนดส่งสินค้า</t>
    </r>
    <r>
      <rPr>
        <sz val="10"/>
        <color theme="8"/>
        <rFont val="Calibri"/>
        <family val="2"/>
        <charset val="1"/>
      </rPr>
      <t>)</t>
    </r>
  </si>
  <si>
    <t>${offerValidation.DeliveryDue}</t>
  </si>
  <si>
    <t>${offerValidation.Unitofdeliverydue}</t>
  </si>
  <si>
    <t>Remarks</t>
  </si>
  <si>
    <t>Bank gaurantee - Start date</t>
  </si>
  <si>
    <t>${offerValidation.PeriodOfBankGauranteeStart}</t>
  </si>
  <si>
    <t xml:space="preserve">With reference to the above tender, you must not on-sell the above mentioned products at a price higher than those listed above. However, you are always free to sell at a price lower, at your discretion. </t>
  </si>
  <si>
    <t>Bank gaurantee - End date</t>
  </si>
  <si>
    <t>${offerValidation.PeriodOfBankGauranteeEnd}</t>
  </si>
  <si>
    <t>Bank gaurantee value (THB)</t>
  </si>
  <si>
    <t>${offerValidation.BGValueBaht}</t>
  </si>
  <si>
    <t>Header fields</t>
  </si>
  <si>
    <t>Description</t>
  </si>
  <si>
    <t>${offerValidation.OFFERID}</t>
  </si>
  <si>
    <t>Contract Number</t>
  </si>
  <si>
    <t>${offerValidation.TENDERID}</t>
  </si>
  <si>
    <t>Tender Reference</t>
  </si>
  <si>
    <t>Offer Date</t>
  </si>
  <si>
    <t>${offerValidation.INSTITUTENAME}</t>
  </si>
  <si>
    <t>Offer Party</t>
  </si>
  <si>
    <t>${offerValidation.PROCUREMENT_REASON}</t>
  </si>
  <si>
    <t>Procurement reason</t>
  </si>
  <si>
    <t>${offerValidation.CUSTOMER_CODE}</t>
  </si>
  <si>
    <t>${offerValidation.PRODUCT_UNIT_NAME}</t>
  </si>
  <si>
    <t>ProductGenericname</t>
  </si>
  <si>
    <t>${offerValidation.Tender_Custom_String_6}</t>
  </si>
  <si>
    <t>Quotation Delivery Channel (raw value from Tender data)</t>
  </si>
  <si>
    <t>Quotation Delivery Channel - radio button link index (auto-computed from A16; 1=Bayer Rep, 2=DKSH, 3=POA). Do not edit directly.</t>
  </si>
  <si>
    <t>Product table fields</t>
  </si>
  <si>
    <t>SKU CODE</t>
  </si>
  <si>
    <t>Article name</t>
  </si>
  <si>
    <t>ProductGenericName</t>
  </si>
  <si>
    <t>PAID VOLUME</t>
  </si>
  <si>
    <t>UNIT</t>
  </si>
  <si>
    <t>OFFER PRICE</t>
  </si>
  <si>
    <t>CURRENCY</t>
  </si>
  <si>
    <t>OFFER_PRICE_VAT</t>
  </si>
  <si>
    <t>GROSS SALES OFFER CURRENCY</t>
  </si>
  <si>
    <t>GROSS_SALES_OFFER_CURRENCY_VAT</t>
  </si>
  <si>
    <t>OFFER_ID</t>
  </si>
  <si>
    <t>SORTER</t>
  </si>
  <si>
    <t>Samples</t>
  </si>
  <si>
    <t>Origin</t>
  </si>
  <si>
    <t>FOC</t>
  </si>
  <si>
    <t>Total Quantity Units</t>
  </si>
  <si>
    <t>Total QTY</t>
  </si>
  <si>
    <t>Net Price</t>
  </si>
  <si>
    <t>Net Price Pack Vat</t>
  </si>
  <si>
    <t>Net Price Unit Vat</t>
  </si>
  <si>
    <t>Amount in numbers</t>
  </si>
  <si>
    <t>VAT total</t>
  </si>
  <si>
    <t>THCC</t>
  </si>
  <si>
    <t>Amount in numbers vat</t>
  </si>
  <si>
    <t>${table:offerProductValidation.SKU}</t>
  </si>
  <si>
    <t>${table:offerProductValidation.PRODUCT_UNIT_NAME}</t>
  </si>
  <si>
    <t>${table:offerProductValidation.CURRENCY}</t>
  </si>
  <si>
    <t>${table:offerProductValidation.OFFER_ID}</t>
  </si>
  <si>
    <t>${table:offerProductValidation.SAMPLES}</t>
  </si>
  <si>
    <t>${table:offerProductValidation.FOC}</t>
  </si>
  <si>
    <t>${table:offerProductValidation.TOTAL_QUANTITY_UNITS}</t>
  </si>
  <si>
    <t>${table:offerProductValidation.NET_PRICE}</t>
  </si>
  <si>
    <t>${table:offerProductValidation.NET_PRICE_VAT}</t>
  </si>
  <si>
    <t>${table:offerProductValidation.NET_PRICE_UNIT_OFFER_CURRENCY_VAT}</t>
  </si>
  <si>
    <t>${offerValidation.VAT_TOTAL}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</si>
</sst>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\-??_);_(@_)"/>
    <numFmt numFmtId="165" formatCode="#\.###\.###.00"/>
  </numFmts>
  <fonts count="14">
    <font>
      <sz val="11"/>
      <color theme="1"/>
      <name val="Calibri"/>
      <family val="2"/>
      <charset val="1"/>
    </font>
    <font>
      <sz val="10"/>
      <color theme="1"/>
      <name val="Calibri"/>
      <family val="2"/>
      <charset val="1"/>
    </font>
    <font>
      <b/>
      <sz val="10"/>
      <color theme="1"/>
      <name val="Calibri"/>
      <family val="2"/>
      <charset val="1"/>
    </font>
    <font>
      <b/>
      <u/>
      <sz val="10"/>
      <color theme="1"/>
      <name val="Calibri"/>
      <family val="2"/>
      <charset val="1"/>
    </font>
    <font>
      <b/>
      <sz val="10"/>
      <color theme="8"/>
      <name val="Calibri"/>
      <family val="2"/>
      <charset val="1"/>
    </font>
    <font>
      <b/>
      <sz val="10"/>
      <name val="Calibri"/>
      <family val="2"/>
      <charset val="1"/>
    </font>
    <font>
      <sz val="10"/>
      <color theme="5"/>
      <name val="Calibri"/>
      <family val="2"/>
      <charset val="1"/>
    </font>
    <font>
      <sz val="10"/>
      <color theme="8"/>
      <name val="Calibri"/>
      <family val="2"/>
      <charset val="1"/>
    </font>
    <font>
      <sz val="10"/>
      <color theme="8"/>
      <name val="FreeSans"/>
      <family val="2"/>
    </font>
    <font>
      <sz val="8"/>
      <color theme="1"/>
      <name val="Calibri"/>
      <family val="2"/>
      <charset val="1"/>
    </font>
    <font>
      <b/>
      <u/>
      <sz val="11"/>
      <color theme="1"/>
      <name val="Calibri"/>
      <family val="2"/>
      <charset val="1"/>
    </font>
    <font>
      <b/>
      <sz val="11"/>
      <color theme="0"/>
      <name val="Calibri"/>
      <family val="2"/>
      <charset val="1"/>
    </font>
    <font>
      <b/>
      <sz val="11"/>
      <color theme="1"/>
      <name val="Calibri"/>
      <family val="2"/>
      <charset val="1"/>
    </font>
    <font>
      <sz val="8"/>
      <color rgb="FF000000"/>
      <name val="Segoe UI"/>
      <family val="2"/>
    </font>
  </fonts>
  <fills count="6">
    <fill>
      <patternFill patternType="none"/>
    </fill>
    <fill>
      <patternFill patternType="gray125"/>
    </fill>
    <fill>
      <patternFill patternType="solid">
        <fgColor theme="2" tint="0.79989013336588644"/>
        <bgColor rgb="FFF2F2F2"/>
      </patternFill>
    </fill>
    <fill>
      <patternFill patternType="solid">
        <fgColor theme="0" tint="-4.9989318521683403E-2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theme="4"/>
        <bgColor rgb="FF003300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/>
      <top style="thin">
        <color theme="4"/>
      </top>
      <bottom/>
      <diagonal/>
    </border>
    <border>
      <left style="thin">
        <color theme="4"/>
      </left>
      <right/>
      <top style="thin">
        <color theme="4"/>
      </top>
      <bottom style="thin">
        <color theme="4"/>
      </bottom>
      <diagonal/>
    </border>
    <border>
      <left/>
      <right/>
      <top style="thin">
        <color theme="4"/>
      </top>
      <bottom style="thin">
        <color theme="4"/>
      </bottom>
      <diagonal/>
    </border>
  </borders>
  <cellStyleXfs count="1">
    <xf numFmtId="0" fontId="0" fillId="0" borderId="0"/>
  </cellStyleXfs>
  <cellXfs count="92">
    <xf numFmtId="0" fontId="0" fillId="0" borderId="0" xfId="0"/>
    <xf numFmtId="0" fontId="1" fillId="0" borderId="1" xfId="0" applyFont="1" applyBorder="1" applyAlignment="1">
      <alignment horizontal="left" vertical="top" wrapText="1"/>
    </xf>
    <xf numFmtId="0" fontId="1" fillId="0" borderId="0" xfId="0" applyFont="1"/>
    <xf numFmtId="0" fontId="2" fillId="2" borderId="1" xfId="0" applyFont="1" applyFill="1" applyBorder="1" applyAlignment="1">
      <alignment vertical="top"/>
    </xf>
    <xf numFmtId="0" fontId="2" fillId="2" borderId="1" xfId="0" applyFont="1" applyFill="1" applyBorder="1" applyAlignment="1">
      <alignment vertical="center"/>
    </xf>
    <xf numFmtId="0" fontId="1" fillId="0" borderId="0" xfId="0" applyFont="1" applyAlignment="1">
      <alignment horizontal="left" wrapText="1"/>
    </xf>
    <xf numFmtId="0" fontId="1" fillId="0" borderId="0" xfId="0" applyFont="1" applyAlignment="1">
      <alignment horizontal="left" vertical="top" wrapText="1"/>
    </xf>
    <xf numFmtId="0" fontId="1" fillId="0" borderId="0" xfId="0" applyFont="1" applyAlignment="1">
      <alignment wrapText="1"/>
    </xf>
    <xf numFmtId="0" fontId="1" fillId="4" borderId="1" xfId="0" applyFont="1" applyFill="1" applyBorder="1" applyAlignment="1">
      <alignment horizontal="left" vertical="top" wrapText="1"/>
    </xf>
    <xf numFmtId="0" fontId="1" fillId="4" borderId="1" xfId="0" applyFont="1" applyFill="1" applyBorder="1" applyAlignment="1">
      <alignment horizontal="center" vertical="center" wrapText="1"/>
    </xf>
    <xf numFmtId="0" fontId="0" fillId="0" borderId="1" xfId="0" applyBorder="1"/>
    <xf numFmtId="0" fontId="0" fillId="4" borderId="1" xfId="0" applyFill="1" applyBorder="1" applyAlignment="1">
      <alignment wrapText="1"/>
    </xf>
    <xf numFmtId="0" fontId="0" fillId="4" borderId="1" xfId="0" applyFill="1" applyBorder="1" applyAlignment="1">
      <alignment horizontal="center"/>
    </xf>
    <xf numFmtId="0" fontId="0" fillId="0" borderId="1" xfId="0" applyBorder="1" applyAlignment="1">
      <alignment horizontal="center"/>
    </xf>
    <xf numFmtId="2" fontId="0" fillId="4" borderId="1" xfId="0" applyNumberFormat="1" applyFill="1" applyBorder="1" applyAlignment="1">
      <alignment horizontal="center"/>
    </xf>
    <xf numFmtId="0" fontId="0" fillId="0" borderId="0" xfId="0" applyAlignment="1">
      <alignment wrapText="1"/>
    </xf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vertical="center"/>
    </xf>
    <xf numFmtId="0" fontId="1" fillId="0" borderId="1" xfId="0" applyFont="1" applyBorder="1" applyAlignment="1">
      <alignment horizontal="center" vertical="center"/>
    </xf>
    <xf numFmtId="164" fontId="1" fillId="0" borderId="1" xfId="0" applyNumberFormat="1" applyFont="1" applyBorder="1"/>
    <xf numFmtId="164" fontId="1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4" borderId="1" xfId="0" applyFont="1" applyFill="1" applyBorder="1" applyAlignment="1">
      <alignment horizontal="left"/>
    </xf>
    <xf numFmtId="0" fontId="1" fillId="0" borderId="1" xfId="0" applyFont="1" applyBorder="1"/>
    <xf numFmtId="0" fontId="6" fillId="0" borderId="0" xfId="0" applyFont="1"/>
    <xf numFmtId="0" fontId="3" fillId="0" borderId="0" xfId="0" applyFont="1" applyAlignment="1">
      <alignment vertical="center"/>
    </xf>
    <xf numFmtId="0" fontId="7" fillId="3" borderId="1" xfId="0" applyFont="1" applyFill="1" applyBorder="1" applyAlignment="1">
      <alignment vertical="top"/>
    </xf>
    <xf numFmtId="0" fontId="1" fillId="3" borderId="1" xfId="0" applyFont="1" applyFill="1" applyBorder="1" applyAlignment="1">
      <alignment vertical="top"/>
    </xf>
    <xf numFmtId="0" fontId="1" fillId="4" borderId="1" xfId="0" applyFont="1" applyFill="1" applyBorder="1"/>
    <xf numFmtId="0" fontId="7" fillId="3" borderId="1" xfId="0" applyFont="1" applyFill="1" applyBorder="1"/>
    <xf numFmtId="0" fontId="1" fillId="3" borderId="1" xfId="0" applyFont="1" applyFill="1" applyBorder="1"/>
    <xf numFmtId="0" fontId="2" fillId="2" borderId="5" xfId="0" applyFont="1" applyFill="1" applyBorder="1" applyAlignment="1">
      <alignment vertical="top"/>
    </xf>
    <xf numFmtId="0" fontId="2" fillId="2" borderId="7" xfId="0" applyFont="1" applyFill="1" applyBorder="1" applyAlignment="1">
      <alignment vertical="top"/>
    </xf>
    <xf numFmtId="0" fontId="2" fillId="2" borderId="6" xfId="0" applyFont="1" applyFill="1" applyBorder="1" applyAlignment="1">
      <alignment vertical="top"/>
    </xf>
    <xf numFmtId="0" fontId="9" fillId="0" borderId="0" xfId="0" applyFont="1" applyAlignment="1">
      <alignment vertical="top" wrapText="1"/>
    </xf>
    <xf numFmtId="0" fontId="1" fillId="4" borderId="1" xfId="0" applyFont="1" applyFill="1" applyBorder="1" applyAlignment="1">
      <alignment vertical="top" wrapText="1"/>
    </xf>
    <xf numFmtId="4" fontId="1" fillId="4" borderId="1" xfId="0" applyNumberFormat="1" applyFont="1" applyFill="1" applyBorder="1" applyAlignment="1">
      <alignment vertical="top" wrapText="1"/>
    </xf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10" fillId="0" borderId="0" xfId="0" applyFont="1"/>
    <xf numFmtId="0" fontId="10" fillId="0" borderId="1" xfId="0" applyFont="1" applyBorder="1"/>
    <xf numFmtId="0" fontId="1" fillId="3" borderId="5" xfId="0" applyFont="1" applyFill="1" applyBorder="1" applyAlignment="1">
      <alignment horizontal="left" vertical="center" wrapText="1"/>
    </xf>
    <xf numFmtId="0" fontId="1" fillId="3" borderId="1" xfId="0" applyFont="1" applyFill="1" applyBorder="1" applyAlignment="1">
      <alignment horizontal="left" vertical="center" wrapText="1"/>
    </xf>
    <xf numFmtId="0" fontId="11" fillId="5" borderId="8" xfId="0" applyFont="1" applyFill="1" applyBorder="1"/>
    <xf numFmtId="0" fontId="11" fillId="5" borderId="9" xfId="0" applyFont="1" applyFill="1" applyBorder="1"/>
    <xf numFmtId="0" fontId="11" fillId="5" borderId="1" xfId="0" applyFont="1" applyFill="1" applyBorder="1"/>
    <xf numFmtId="0" fontId="12" fillId="0" borderId="0" xfId="0" applyFont="1"/>
    <xf numFmtId="0" fontId="0" fillId="0" borderId="8" xfId="0" applyBorder="1"/>
    <xf numFmtId="0" fontId="0" fillId="0" borderId="9" xfId="0" applyBorder="1"/>
    <xf numFmtId="165" fontId="0" fillId="0" borderId="0" xfId="0" applyNumberFormat="1"/>
    <xf numFmtId="2" fontId="0" fillId="0" borderId="0" xfId="0" applyNumberFormat="1"/>
    <xf numFmtId="0" fontId="0" fillId="0" borderId="10" xfId="0" applyBorder="1"/>
    <xf numFmtId="0" fontId="0" fillId="0" borderId="11" xfId="0" applyBorder="1"/>
    <xf numFmtId="0" fontId="1" fillId="0" borderId="1" xfId="0" applyFont="1" applyBorder="1" applyAlignment="1">
      <alignment horizontal="left" vertical="top"/>
    </xf>
    <xf numFmtId="0" fontId="1" fillId="0" borderId="1" xfId="0" applyFont="1" applyBorder="1" applyAlignment="1">
      <alignment horizontal="left" wrapText="1"/>
    </xf>
    <xf numFmtId="0" fontId="1" fillId="0" borderId="1" xfId="0" applyFont="1" applyBorder="1" applyAlignment="1">
      <alignment horizontal="left" vertical="top" wrapText="1"/>
    </xf>
    <xf numFmtId="0" fontId="3" fillId="2" borderId="1" xfId="0" applyFont="1" applyFill="1" applyBorder="1" applyAlignment="1">
      <alignment horizontal="center"/>
    </xf>
    <xf numFmtId="0" fontId="2" fillId="3" borderId="2" xfId="0" applyFont="1" applyFill="1" applyBorder="1" applyAlignment="1">
      <alignment horizontal="left" vertical="top"/>
    </xf>
    <xf numFmtId="0" fontId="1" fillId="0" borderId="3" xfId="0" applyFont="1" applyBorder="1" applyAlignment="1">
      <alignment horizontal="left" wrapText="1"/>
    </xf>
    <xf numFmtId="0" fontId="2" fillId="3" borderId="1" xfId="0" applyFont="1" applyFill="1" applyBorder="1" applyAlignment="1">
      <alignment vertical="top"/>
    </xf>
    <xf numFmtId="49" fontId="1" fillId="0" borderId="4" xfId="0" applyNumberFormat="1" applyFont="1" applyBorder="1" applyAlignment="1">
      <alignment horizontal="left" vertical="top"/>
    </xf>
    <xf numFmtId="0" fontId="4" fillId="3" borderId="3" xfId="0" applyFont="1" applyFill="1" applyBorder="1" applyAlignment="1">
      <alignment horizontal="left" vertical="top"/>
    </xf>
    <xf numFmtId="0" fontId="2" fillId="3" borderId="5" xfId="0" applyFont="1" applyFill="1" applyBorder="1" applyAlignment="1">
      <alignment horizontal="left" vertical="top"/>
    </xf>
    <xf numFmtId="0" fontId="1" fillId="4" borderId="1" xfId="0" applyFont="1" applyFill="1" applyBorder="1" applyAlignment="1">
      <alignment horizontal="left" wrapText="1"/>
    </xf>
    <xf numFmtId="0" fontId="5" fillId="3" borderId="1" xfId="0" applyFont="1" applyFill="1" applyBorder="1" applyAlignment="1">
      <alignment horizontal="left"/>
    </xf>
    <xf numFmtId="49" fontId="1" fillId="0" borderId="6" xfId="0" applyNumberFormat="1" applyFont="1" applyBorder="1" applyAlignment="1">
      <alignment horizontal="left" vertical="top"/>
    </xf>
    <xf numFmtId="0" fontId="4" fillId="3" borderId="1" xfId="0" applyFont="1" applyFill="1" applyBorder="1" applyAlignment="1">
      <alignment horizontal="left" vertical="top"/>
    </xf>
    <xf numFmtId="0" fontId="5" fillId="3" borderId="1" xfId="0" applyFont="1" applyFill="1" applyBorder="1" applyAlignment="1">
      <alignment horizontal="left" vertical="top"/>
    </xf>
    <xf numFmtId="0" fontId="1" fillId="0" borderId="1" xfId="0" applyFont="1" applyBorder="1" applyAlignment="1">
      <alignment horizontal="left"/>
    </xf>
    <xf numFmtId="0" fontId="2" fillId="3" borderId="1" xfId="0" applyFont="1" applyFill="1" applyBorder="1" applyAlignment="1">
      <alignment horizontal="left" vertical="top"/>
    </xf>
    <xf numFmtId="0" fontId="0" fillId="0" borderId="6" xfId="0" applyBorder="1" applyAlignment="1">
      <alignment horizontal="left" wrapText="1"/>
    </xf>
    <xf numFmtId="0" fontId="2" fillId="3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/>
    </xf>
    <xf numFmtId="164" fontId="1" fillId="0" borderId="1" xfId="0" applyNumberFormat="1" applyFont="1" applyBorder="1" applyAlignment="1">
      <alignment horizontal="center"/>
    </xf>
    <xf numFmtId="164" fontId="2" fillId="0" borderId="1" xfId="0" applyNumberFormat="1" applyFont="1" applyBorder="1" applyAlignment="1">
      <alignment horizontal="center"/>
    </xf>
    <xf numFmtId="0" fontId="2" fillId="3" borderId="3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center"/>
    </xf>
    <xf numFmtId="49" fontId="1" fillId="0" borderId="1" xfId="0" applyNumberFormat="1" applyFont="1" applyBorder="1" applyAlignment="1">
      <alignment horizontal="center"/>
    </xf>
    <xf numFmtId="0" fontId="3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vertical="center"/>
    </xf>
    <xf numFmtId="0" fontId="7" fillId="4" borderId="1" xfId="0" applyFont="1" applyFill="1" applyBorder="1" applyAlignment="1">
      <alignment horizontal="center"/>
    </xf>
    <xf numFmtId="0" fontId="1" fillId="4" borderId="1" xfId="0" applyFont="1" applyFill="1" applyBorder="1" applyAlignment="1">
      <alignment horizontal="left"/>
    </xf>
    <xf numFmtId="0" fontId="1" fillId="4" borderId="6" xfId="0" applyFont="1" applyFill="1" applyBorder="1" applyAlignment="1">
      <alignment horizontal="left"/>
    </xf>
    <xf numFmtId="0" fontId="2" fillId="2" borderId="1" xfId="0" applyFont="1" applyFill="1" applyBorder="1" applyAlignment="1">
      <alignment horizontal="left" vertical="center"/>
    </xf>
    <xf numFmtId="0" fontId="9" fillId="4" borderId="1" xfId="0" applyFont="1" applyFill="1" applyBorder="1" applyAlignment="1">
      <alignment horizontal="left" vertical="top" wrapText="1"/>
    </xf>
    <xf numFmtId="0" fontId="0" fillId="0" borderId="1" xfId="0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E2D8E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0384F"/>
      <rgbColor rgb="FF339966"/>
      <rgbColor rgb="FF003300"/>
      <rgbColor rgb="FF333300"/>
      <rgbColor rgb="FF993300"/>
      <rgbColor rgb="FF993366"/>
      <rgbColor rgb="FF333399"/>
      <rgbColor rgb="FF44324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trlProps/ctrlProp1.xml><?xml version="1.0" encoding="utf-8"?>
<formControlPr xmlns="http://schemas.microsoft.com/office/spreadsheetml/2009/9/main" objectType="Radio" firstButton="1" fmlaLink="Settings!$A$17" lockText="1" noThreeD="1"/>
</file>

<file path=xl/ctrlProps/ctrlProp2.xml><?xml version="1.0" encoding="utf-8"?>
<formControlPr xmlns="http://schemas.microsoft.com/office/spreadsheetml/2009/9/main" objectType="Radio" lockText="1" noThreeD="1"/>
</file>

<file path=xl/ctrlProps/ctrlProp3.xml><?xml version="1.0" encoding="utf-8"?>
<formControlPr xmlns="http://schemas.microsoft.com/office/spreadsheetml/2009/9/main" objectType="Radio" lockText="1" noThreeD="1"/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84600</xdr:colOff>
      <xdr:row>1</xdr:row>
      <xdr:rowOff>127080</xdr:rowOff>
    </xdr:from>
    <xdr:to>
      <xdr:col>13</xdr:col>
      <xdr:colOff>1760400</xdr:colOff>
      <xdr:row>6</xdr:row>
      <xdr:rowOff>39600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23173920" y="308160"/>
          <a:ext cx="1675800" cy="846000"/>
        </a:xfrm>
        <a:prstGeom prst="rect">
          <a:avLst/>
        </a:prstGeom>
        <a:ln w="0">
          <a:noFill/>
        </a:ln>
      </xdr:spPr>
    </xdr:pic>
    <xdr:clientData/>
  </xdr:twoCellAnchor>
  <xdr:twoCellAnchor>
    <xdr:from>
      <xdr:col>0</xdr:col>
      <xdr:colOff>0</xdr:colOff>
      <xdr:row>0</xdr:row>
      <xdr:rowOff>0</xdr:rowOff>
    </xdr:from>
    <xdr:to>
      <xdr:col>4</xdr:col>
      <xdr:colOff>1485900</xdr:colOff>
      <xdr:row>29</xdr:row>
      <xdr:rowOff>184150</xdr:rowOff>
    </xdr:to>
    <xdr:pic>
      <xdr:nvPicPr>
        <xdr:cNvPr id="2004" name="Object 980" hidden="1">
          <a:extLst>
            <a:ext uri="{FF2B5EF4-FFF2-40B4-BE49-F238E27FC236}">
              <a16:creationId xmlns:a16="http://schemas.microsoft.com/office/drawing/2014/main" id="{05C99FBB-D800-D544-7D7D-74B95D080779}"/>
            </a:ext>
          </a:extLst>
        </xdr:cNvPr>
        <xdr:cNvPicPr preferRelativeResize="0">
          <a:picLocks noSelect="1" noChangeAspect="1" noChangeArrowheads="1"/>
        </xdr:cNvPicPr>
      </xdr:nvPicPr>
      <xdr:blipFill>
        <a:blip xmlns:r="http://schemas.openxmlformats.org/officeDocument/2006/relationships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6350000" cy="635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pic>
    <xdr:clientData/>
  </xdr:twoCellAnchor>
  <xdr:twoCellAnchor>
    <xdr:from>
      <xdr:col>0</xdr:col>
      <xdr:colOff>0</xdr:colOff>
      <xdr:row>0</xdr:row>
      <xdr:rowOff>0</xdr:rowOff>
    </xdr:from>
    <xdr:to>
      <xdr:col>4</xdr:col>
      <xdr:colOff>1485900</xdr:colOff>
      <xdr:row>29</xdr:row>
      <xdr:rowOff>184150</xdr:rowOff>
    </xdr:to>
    <xdr:sp macro="" textlink="">
      <xdr:nvSpPr>
        <xdr:cNvPr id="3" name="AutoShape 980">
          <a:extLst>
            <a:ext uri="{FF2B5EF4-FFF2-40B4-BE49-F238E27FC236}">
              <a16:creationId xmlns:a16="http://schemas.microsoft.com/office/drawing/2014/main" id="{48BB92A3-1CB1-87A4-BB61-4EB0B46782E5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6350000" cy="6350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38100</xdr:colOff>
          <xdr:row>31</xdr:row>
          <xdr:rowOff>152400</xdr:rowOff>
        </xdr:from>
        <xdr:to>
          <xdr:col>7</xdr:col>
          <xdr:colOff>146050</xdr:colOff>
          <xdr:row>33</xdr:row>
          <xdr:rowOff>38100</xdr:rowOff>
        </xdr:to>
        <xdr:sp macro="" textlink="">
          <xdr:nvSpPr>
            <xdr:cNvPr id="2005" name="Option Button 981" hidden="1">
              <a:extLst>
                <a:ext uri="{63B3BB69-23CF-44E3-9099-C40C66FF867C}">
                  <a14:compatExt spid="_x0000_s2005"/>
                </a:ext>
                <a:ext uri="{FF2B5EF4-FFF2-40B4-BE49-F238E27FC236}">
                  <a16:creationId xmlns:a16="http://schemas.microsoft.com/office/drawing/2014/main" id="{00000000-0008-0000-0000-0000D5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32004" rIns="0" bIns="32004" anchor="ctr" upright="1"/>
            <a:lstStyle/>
            <a:p>
              <a:pPr algn="l" rtl="0">
                <a:defRPr sz="1000"/>
              </a:pPr>
              <a:r>
                <a:rPr lang="en-GB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Bayer Representative (ผู้แทนดำเนินการเอง)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2489200</xdr:colOff>
          <xdr:row>31</xdr:row>
          <xdr:rowOff>171450</xdr:rowOff>
        </xdr:from>
        <xdr:to>
          <xdr:col>8</xdr:col>
          <xdr:colOff>0</xdr:colOff>
          <xdr:row>33</xdr:row>
          <xdr:rowOff>12700</xdr:rowOff>
        </xdr:to>
        <xdr:sp macro="" textlink="">
          <xdr:nvSpPr>
            <xdr:cNvPr id="2007" name="Option Button 983" hidden="1">
              <a:extLst>
                <a:ext uri="{63B3BB69-23CF-44E3-9099-C40C66FF867C}">
                  <a14:compatExt spid="_x0000_s2007"/>
                </a:ext>
                <a:ext uri="{FF2B5EF4-FFF2-40B4-BE49-F238E27FC236}">
                  <a16:creationId xmlns:a16="http://schemas.microsoft.com/office/drawing/2014/main" id="{00000000-0008-0000-0000-0000D7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32004" rIns="0" bIns="32004" anchor="ctr" upright="1"/>
            <a:lstStyle/>
            <a:p>
              <a:pPr algn="l" rtl="0">
                <a:defRPr sz="1000"/>
              </a:pPr>
              <a:r>
                <a:rPr lang="en-GB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DKSH Field Force Services(ขอบริการเจ้าหน้าที่ Field Force Services)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3625850</xdr:colOff>
          <xdr:row>31</xdr:row>
          <xdr:rowOff>146050</xdr:rowOff>
        </xdr:from>
        <xdr:to>
          <xdr:col>9</xdr:col>
          <xdr:colOff>25400</xdr:colOff>
          <xdr:row>33</xdr:row>
          <xdr:rowOff>44450</xdr:rowOff>
        </xdr:to>
        <xdr:sp macro="" textlink="">
          <xdr:nvSpPr>
            <xdr:cNvPr id="2008" name="Option Button 984" hidden="1">
              <a:extLst>
                <a:ext uri="{63B3BB69-23CF-44E3-9099-C40C66FF867C}">
                  <a14:compatExt spid="_x0000_s2008"/>
                </a:ext>
                <a:ext uri="{FF2B5EF4-FFF2-40B4-BE49-F238E27FC236}">
                  <a16:creationId xmlns:a16="http://schemas.microsoft.com/office/drawing/2014/main" id="{00000000-0008-0000-0000-0000D8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32004" rIns="0" bIns="32004" anchor="ctr" upright="1"/>
            <a:lstStyle/>
            <a:p>
              <a:pPr algn="l" rtl="0">
                <a:defRPr sz="1000"/>
              </a:pPr>
              <a:r>
                <a:rPr lang="en-GB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POA (ผู้มีอำนาจของบริษัทฯ ลงนาม)</a:t>
              </a:r>
            </a:p>
          </xdr:txBody>
        </xdr:sp>
        <xdr:clientData/>
      </xdr:twoCellAnchor>
    </mc:Choice>
    <mc:Fallback/>
  </mc:AlternateContent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absolute">
    <xdr:from>
      <xdr:col>2</xdr:col>
      <xdr:colOff>795600</xdr:colOff>
      <xdr:row>1</xdr:row>
      <xdr:rowOff>91440</xdr:rowOff>
    </xdr:from>
    <xdr:to>
      <xdr:col>2</xdr:col>
      <xdr:colOff>2359440</xdr:colOff>
      <xdr:row>5</xdr:row>
      <xdr:rowOff>136440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7407720" y="272520"/>
          <a:ext cx="1563840" cy="768960"/>
        </a:xfrm>
        <a:prstGeom prst="rect">
          <a:avLst/>
        </a:prstGeom>
        <a:ln w="0">
          <a:noFill/>
        </a:ln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14" displayName="Tabel14" ref="A1:B17" totalsRowShown="0">
  <autoFilter ref="A1:B17" xr:uid="{00000000-0009-0000-0100-000001000000}"/>
  <tableColumns count="2">
    <tableColumn id="1" xr3:uid="{00000000-0010-0000-0000-000001000000}" name="Header fields"/>
    <tableColumn id="2" xr3:uid="{00000000-0010-0000-0000-000002000000}" name="Description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el2" displayName="Tabel2" ref="D19:AA54" totalsRowShown="0">
  <autoFilter ref="D19:AA54" xr:uid="{00000000-0009-0000-0100-000002000000}"/>
  <tableColumns count="24">
    <tableColumn id="1" xr3:uid="{00000000-0010-0000-0100-000001000000}" name="PAID VOLUME"/>
    <tableColumn id="2" xr3:uid="{00000000-0010-0000-0100-000002000000}" name="UNIT"/>
    <tableColumn id="3" xr3:uid="{00000000-0010-0000-0100-000003000000}" name="OFFER PRICE"/>
    <tableColumn id="4" xr3:uid="{00000000-0010-0000-0100-000004000000}" name="CURRENCY"/>
    <tableColumn id="5" xr3:uid="{00000000-0010-0000-0100-000005000000}" name="OFFER_PRICE_VAT"/>
    <tableColumn id="6" xr3:uid="{00000000-0010-0000-0100-000006000000}" name="GROSS SALES OFFER CURRENCY"/>
    <tableColumn id="7" xr3:uid="{00000000-0010-0000-0100-000007000000}" name="GROSS_SALES_OFFER_CURRENCY_VAT"/>
    <tableColumn id="8" xr3:uid="{00000000-0010-0000-0100-000008000000}" name="OFFER_ID"/>
    <tableColumn id="9" xr3:uid="{00000000-0010-0000-0100-000009000000}" name="SORTER"/>
    <tableColumn id="10" xr3:uid="{00000000-0010-0000-0100-00000A000000}" name="Pack Factor"/>
    <tableColumn id="11" xr3:uid="{00000000-0010-0000-0100-00000B000000}" name="Samples"/>
    <tableColumn id="12" xr3:uid="{00000000-0010-0000-0100-00000C000000}" name="Origin"/>
    <tableColumn id="13" xr3:uid="{00000000-0010-0000-0100-00000D000000}" name="FOC"/>
    <tableColumn id="14" xr3:uid="{00000000-0010-0000-0100-00000E000000}" name="Total Quantity Units"/>
    <tableColumn id="15" xr3:uid="{00000000-0010-0000-0100-00000F000000}" name="Total QTY"/>
    <tableColumn id="16" xr3:uid="{00000000-0010-0000-0100-000010000000}" name="Net Price"/>
    <tableColumn id="17" xr3:uid="{00000000-0010-0000-0100-000011000000}" name="Net Price Pack Vat"/>
    <tableColumn id="18" xr3:uid="{00000000-0010-0000-0100-000012000000}" name="Net Price Unit Vat"/>
    <tableColumn id="19" xr3:uid="{00000000-0010-0000-0100-000013000000}" name="Amount in numbers"/>
    <tableColumn id="20" xr3:uid="{00000000-0010-0000-0100-000014000000}" name="VAT total"/>
    <tableColumn id="21" xr3:uid="{00000000-0010-0000-0100-000015000000}" name="GPU"/>
    <tableColumn id="22" xr3:uid="{00000000-0010-0000-0100-000016000000}" name="THCC"/>
    <tableColumn id="23" xr3:uid="{00000000-0010-0000-0100-000017000000}" name="TPU"/>
    <tableColumn id="24" xr3:uid="{00000000-0010-0000-0100-000018000000}" name="Amount in numbers vat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Bayer 2017">
      <a:dk1>
        <a:srgbClr val="000000"/>
      </a:dk1>
      <a:lt1>
        <a:srgbClr val="FFFFFF"/>
      </a:lt1>
      <a:dk2>
        <a:srgbClr val="FF3162"/>
      </a:dk2>
      <a:lt2>
        <a:srgbClr val="624963"/>
      </a:lt2>
      <a:accent1>
        <a:srgbClr val="10384F"/>
      </a:accent1>
      <a:accent2>
        <a:srgbClr val="00BCFF"/>
      </a:accent2>
      <a:accent3>
        <a:srgbClr val="004422"/>
      </a:accent3>
      <a:accent4>
        <a:srgbClr val="89D329"/>
      </a:accent4>
      <a:accent5>
        <a:srgbClr val="443247"/>
      </a:accent5>
      <a:accent6>
        <a:srgbClr val="D30F4B"/>
      </a:accent6>
      <a:hlink>
        <a:srgbClr val="00BCFF"/>
      </a:hlink>
      <a:folHlink>
        <a:srgbClr val="10384F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openxmlformats.org/officeDocument/2006/relationships/ctrlProp" Target="../ctrlProps/ctrlProp3.xml"/><Relationship Id="rId4" Type="http://schemas.openxmlformats.org/officeDocument/2006/relationships/ctrlProp" Target="../ctrlProps/ctrlProp2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O53"/>
  <sheetViews>
    <sheetView tabSelected="1" topLeftCell="E30" zoomScale="90" zoomScaleNormal="90" workbookViewId="0">
      <selection activeCell="G43" sqref="G43"/>
    </sheetView>
  </sheetViews>
  <sheetFormatPr defaultColWidth="8.6328125" defaultRowHeight="14.5"/>
  <cols>
    <col min="2" max="2" width="12" customWidth="1"/>
    <col min="3" max="3" width="15.7265625" customWidth="1"/>
    <col min="4" max="4" width="33.26953125" customWidth="1"/>
    <col min="5" max="5" width="52.453125" customWidth="1"/>
    <col min="6" max="6" width="11.81640625" customWidth="1"/>
    <col min="7" max="7" width="36" customWidth="1"/>
    <col min="8" max="8" width="52" customWidth="1"/>
    <col min="9" max="9" width="30" customWidth="1"/>
    <col min="10" max="10" width="21.26953125" customWidth="1"/>
    <col min="11" max="11" width="14.81640625" customWidth="1"/>
    <col min="12" max="12" width="12.54296875" customWidth="1"/>
    <col min="13" max="13" width="27" customWidth="1"/>
    <col min="14" max="14" width="34.1796875" customWidth="1"/>
  </cols>
  <sheetData>
    <row r="2" spans="2:14" ht="14.25" customHeight="1"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spans="2:14" ht="14.25" customHeight="1">
      <c r="B3" s="3" t="s">
        <v>0</v>
      </c>
      <c r="C3" s="53" t="s">
        <v>1</v>
      </c>
      <c r="D3" s="53"/>
      <c r="E3" s="53"/>
      <c r="F3" s="53"/>
      <c r="G3" s="53"/>
      <c r="H3" s="2"/>
      <c r="I3" s="3" t="s">
        <v>2</v>
      </c>
      <c r="J3" s="53" t="s">
        <v>3</v>
      </c>
      <c r="K3" s="53"/>
      <c r="L3" s="53"/>
      <c r="M3" s="53"/>
      <c r="N3" s="2"/>
    </row>
    <row r="4" spans="2:14" ht="15" customHeight="1">
      <c r="B4" s="4" t="s">
        <v>4</v>
      </c>
      <c r="C4" s="54" t="s">
        <v>5</v>
      </c>
      <c r="D4" s="54"/>
      <c r="E4" s="54"/>
      <c r="F4" s="54"/>
      <c r="G4" s="54"/>
      <c r="H4" s="2"/>
      <c r="I4" s="3" t="s">
        <v>4</v>
      </c>
      <c r="J4" s="55" t="s">
        <v>6</v>
      </c>
      <c r="K4" s="55"/>
      <c r="L4" s="55"/>
      <c r="M4" s="55"/>
      <c r="N4" s="2"/>
    </row>
    <row r="5" spans="2:14" ht="15" customHeight="1">
      <c r="B5" s="5"/>
      <c r="C5" s="5"/>
      <c r="D5" s="5"/>
      <c r="E5" s="5"/>
      <c r="F5" s="5"/>
      <c r="G5" s="5"/>
      <c r="H5" s="2"/>
      <c r="I5" s="2"/>
      <c r="J5" s="6"/>
      <c r="K5" s="6"/>
      <c r="L5" s="6"/>
      <c r="M5" s="6"/>
      <c r="N5" s="2"/>
    </row>
    <row r="6" spans="2:14" ht="15" customHeight="1">
      <c r="B6" s="5"/>
      <c r="C6" s="5"/>
      <c r="D6" s="5"/>
      <c r="E6" s="5"/>
      <c r="F6" s="5"/>
      <c r="G6" s="5"/>
      <c r="H6" s="2"/>
      <c r="I6" s="2"/>
      <c r="J6" s="6"/>
      <c r="K6" s="6"/>
      <c r="L6" s="6"/>
      <c r="M6" s="6"/>
      <c r="N6" s="2"/>
    </row>
    <row r="7" spans="2:14" ht="14.25" customHeight="1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</row>
    <row r="8" spans="2:14" ht="14.25" customHeight="1">
      <c r="B8" s="56" t="s">
        <v>7</v>
      </c>
      <c r="C8" s="56"/>
      <c r="D8" s="56"/>
      <c r="E8" s="56"/>
      <c r="F8" s="56"/>
      <c r="G8" s="56"/>
      <c r="H8" s="56"/>
      <c r="I8" s="56"/>
      <c r="J8" s="56"/>
      <c r="K8" s="56"/>
      <c r="L8" s="56"/>
      <c r="M8" s="56"/>
      <c r="N8" s="56"/>
    </row>
    <row r="9" spans="2:14" ht="14.25" customHeight="1">
      <c r="B9" s="57" t="s">
        <v>8</v>
      </c>
      <c r="C9" s="57"/>
      <c r="D9" s="58" t="s">
        <v>9</v>
      </c>
      <c r="E9" s="58"/>
      <c r="F9" s="7"/>
      <c r="G9" s="59" t="s">
        <v>10</v>
      </c>
      <c r="H9" s="59"/>
      <c r="I9" s="60" t="s">
        <v>11</v>
      </c>
      <c r="J9" s="60"/>
      <c r="K9" s="60"/>
      <c r="L9" s="61" t="s">
        <v>12</v>
      </c>
      <c r="M9" s="61"/>
      <c r="N9" s="1" t="s">
        <v>13</v>
      </c>
    </row>
    <row r="10" spans="2:14" ht="26.25" customHeight="1">
      <c r="B10" s="62" t="s">
        <v>14</v>
      </c>
      <c r="C10" s="62"/>
      <c r="D10" s="63" t="str">
        <f>Settings!A14</f>
        <v>${offerValidation.CUSTOMER_CODE}</v>
      </c>
      <c r="E10" s="63"/>
      <c r="F10" s="7"/>
      <c r="G10" s="64" t="s">
        <v>15</v>
      </c>
      <c r="H10" s="64"/>
      <c r="I10" s="65" t="s">
        <v>16</v>
      </c>
      <c r="J10" s="65"/>
      <c r="K10" s="65"/>
      <c r="L10" s="66" t="s">
        <v>17</v>
      </c>
      <c r="M10" s="66"/>
      <c r="N10" s="1" t="s">
        <v>18</v>
      </c>
    </row>
    <row r="11" spans="2:14" ht="26.25" customHeight="1">
      <c r="B11" s="62" t="s">
        <v>19</v>
      </c>
      <c r="C11" s="62"/>
      <c r="D11" s="63" t="str">
        <f>Settings!A9</f>
        <v>${offerValidation.INSTITUTENAME}</v>
      </c>
      <c r="E11" s="63"/>
      <c r="F11" s="7"/>
      <c r="G11" s="67" t="s">
        <v>20</v>
      </c>
      <c r="H11" s="67"/>
      <c r="I11" s="65" t="s">
        <v>21</v>
      </c>
      <c r="J11" s="65"/>
      <c r="K11" s="65"/>
      <c r="L11" s="66" t="s">
        <v>22</v>
      </c>
      <c r="M11" s="66"/>
      <c r="N11" s="8" t="s">
        <v>23</v>
      </c>
    </row>
    <row r="12" spans="2:14" ht="25.5" customHeight="1">
      <c r="B12" s="62" t="s">
        <v>24</v>
      </c>
      <c r="C12" s="62"/>
      <c r="D12" s="68" t="s">
        <v>25</v>
      </c>
      <c r="E12" s="68"/>
      <c r="F12" s="2"/>
      <c r="G12" s="69" t="s">
        <v>26</v>
      </c>
      <c r="H12" s="69"/>
      <c r="I12" s="70" t="s">
        <v>27</v>
      </c>
      <c r="J12" s="70"/>
      <c r="K12" s="70"/>
      <c r="L12" s="66" t="s">
        <v>17</v>
      </c>
      <c r="M12" s="66"/>
      <c r="N12" s="8" t="s">
        <v>28</v>
      </c>
    </row>
    <row r="13" spans="2:14" ht="27.75" customHeight="1">
      <c r="B13" s="62" t="s">
        <v>29</v>
      </c>
      <c r="C13" s="62"/>
      <c r="D13" s="68" t="s">
        <v>30</v>
      </c>
      <c r="E13" s="68"/>
      <c r="F13" s="2"/>
      <c r="G13" s="69" t="s">
        <v>31</v>
      </c>
      <c r="H13" s="69"/>
      <c r="I13" s="70" t="s">
        <v>32</v>
      </c>
      <c r="J13" s="70"/>
      <c r="K13" s="70"/>
    </row>
    <row r="14" spans="2:14" ht="14.25" customHeight="1">
      <c r="B14" s="2"/>
      <c r="C14" s="2"/>
      <c r="D14" s="2"/>
      <c r="E14" s="2"/>
      <c r="F14" s="2"/>
      <c r="G14" s="2"/>
      <c r="H14" s="2"/>
      <c r="I14" s="2"/>
      <c r="J14" s="2"/>
      <c r="K14" s="2"/>
    </row>
    <row r="15" spans="2:14" ht="14.25" customHeight="1">
      <c r="B15" s="56" t="s">
        <v>33</v>
      </c>
      <c r="C15" s="56"/>
      <c r="D15" s="56"/>
      <c r="E15" s="56"/>
      <c r="F15" s="56"/>
      <c r="G15" s="56"/>
      <c r="H15" s="56"/>
      <c r="I15" s="56"/>
      <c r="J15" s="56"/>
      <c r="K15" s="56"/>
      <c r="L15" s="56"/>
      <c r="M15" s="56"/>
      <c r="N15" s="56"/>
    </row>
    <row r="16" spans="2:14" ht="14.25" customHeight="1">
      <c r="B16" s="71" t="s">
        <v>34</v>
      </c>
      <c r="C16" s="72" t="s">
        <v>35</v>
      </c>
      <c r="D16" s="72" t="s">
        <v>36</v>
      </c>
      <c r="E16" s="72" t="s">
        <v>37</v>
      </c>
      <c r="F16" s="72" t="s">
        <v>38</v>
      </c>
      <c r="G16" s="72" t="s">
        <v>39</v>
      </c>
      <c r="H16" s="72" t="s">
        <v>40</v>
      </c>
      <c r="I16" s="72" t="s">
        <v>41</v>
      </c>
      <c r="J16" s="72" t="s">
        <v>42</v>
      </c>
      <c r="K16" s="72"/>
      <c r="L16" s="72"/>
      <c r="M16" s="72" t="s">
        <v>43</v>
      </c>
      <c r="N16" s="72"/>
    </row>
    <row r="17" spans="2:15" ht="14.25" customHeight="1">
      <c r="B17" s="71"/>
      <c r="C17" s="71"/>
      <c r="D17" s="71"/>
      <c r="E17" s="71"/>
      <c r="F17" s="71"/>
      <c r="G17" s="71"/>
      <c r="H17" s="71"/>
      <c r="I17" s="71"/>
      <c r="J17" s="72"/>
      <c r="K17" s="72"/>
      <c r="L17" s="72"/>
      <c r="M17" s="72"/>
      <c r="N17" s="72"/>
    </row>
    <row r="18" spans="2:15" ht="25.5" customHeight="1">
      <c r="B18" s="71"/>
      <c r="C18" s="71"/>
      <c r="D18" s="71"/>
      <c r="E18" s="71"/>
      <c r="F18" s="71"/>
      <c r="G18" s="71"/>
      <c r="H18" s="71"/>
      <c r="I18" s="71"/>
      <c r="J18" s="9" t="s">
        <v>44</v>
      </c>
      <c r="K18" s="73" t="s">
        <v>45</v>
      </c>
      <c r="L18" s="73"/>
      <c r="M18" s="9" t="s">
        <v>44</v>
      </c>
      <c r="N18" s="9" t="s">
        <v>45</v>
      </c>
    </row>
    <row r="19" spans="2:15" ht="28.5" customHeight="1">
      <c r="B19" s="10" t="s">
        <v>46</v>
      </c>
      <c r="C19" s="10" t="s">
        <v>47</v>
      </c>
      <c r="D19" s="11" t="s">
        <v>48</v>
      </c>
      <c r="E19" s="11" t="s">
        <v>49</v>
      </c>
      <c r="F19" s="12" t="s">
        <v>50</v>
      </c>
      <c r="G19" s="12" t="s">
        <v>51</v>
      </c>
      <c r="H19" s="13" t="s">
        <v>52</v>
      </c>
      <c r="I19" s="13" t="s">
        <v>53</v>
      </c>
      <c r="J19" s="12" t="s">
        <v>54</v>
      </c>
      <c r="K19" s="74" t="s">
        <v>55</v>
      </c>
      <c r="L19" s="74"/>
      <c r="M19" s="14" t="s">
        <v>56</v>
      </c>
      <c r="N19" s="14" t="s">
        <v>57</v>
      </c>
      <c r="O19" s="15"/>
    </row>
    <row r="20" spans="2:15" ht="14.25" customHeight="1">
      <c r="B20" s="16"/>
      <c r="C20" s="16"/>
      <c r="D20" s="16"/>
      <c r="E20" s="17"/>
      <c r="F20" s="16"/>
      <c r="G20" s="10"/>
      <c r="H20" s="18"/>
      <c r="I20" s="16"/>
      <c r="J20" s="19"/>
      <c r="K20" s="75"/>
      <c r="L20" s="75"/>
      <c r="M20" s="19"/>
      <c r="N20" s="20"/>
    </row>
    <row r="21" spans="2:15" ht="14.25" customHeight="1">
      <c r="B21" s="16"/>
      <c r="C21" s="16"/>
      <c r="D21" s="16"/>
      <c r="E21" s="17"/>
      <c r="F21" s="16"/>
      <c r="G21" s="10"/>
      <c r="H21" s="18"/>
      <c r="I21" s="16"/>
      <c r="J21" s="19"/>
      <c r="K21" s="76" t="s">
        <v>58</v>
      </c>
      <c r="L21" s="76"/>
      <c r="M21" s="13" t="s">
        <v>59</v>
      </c>
      <c r="N21" s="13" t="s">
        <v>60</v>
      </c>
    </row>
    <row r="22" spans="2:15" ht="14.25" customHeight="1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</row>
    <row r="23" spans="2:15" ht="14.25" customHeight="1">
      <c r="B23" s="56" t="s">
        <v>61</v>
      </c>
      <c r="C23" s="56"/>
      <c r="D23" s="56"/>
      <c r="E23" s="56"/>
      <c r="F23" s="56"/>
      <c r="G23" s="56"/>
      <c r="H23" s="56"/>
      <c r="I23" s="56"/>
      <c r="J23" s="56"/>
      <c r="K23" s="56"/>
      <c r="L23" s="56"/>
      <c r="M23" s="56"/>
      <c r="N23" s="56"/>
    </row>
    <row r="24" spans="2:15" ht="14.25" customHeight="1">
      <c r="B24" s="77" t="s">
        <v>34</v>
      </c>
      <c r="C24" s="78" t="s">
        <v>35</v>
      </c>
      <c r="D24" s="79" t="s">
        <v>62</v>
      </c>
      <c r="E24" s="79" t="s">
        <v>63</v>
      </c>
      <c r="F24" s="78" t="s">
        <v>64</v>
      </c>
      <c r="G24" s="79" t="s">
        <v>65</v>
      </c>
      <c r="H24" s="79" t="s">
        <v>66</v>
      </c>
      <c r="I24" s="79" t="s">
        <v>67</v>
      </c>
      <c r="J24" s="79"/>
      <c r="K24" s="79"/>
      <c r="L24" s="78" t="s">
        <v>68</v>
      </c>
      <c r="M24" s="78"/>
      <c r="N24" s="78" t="s">
        <v>69</v>
      </c>
      <c r="O24" s="2"/>
    </row>
    <row r="25" spans="2:15" ht="14.25" customHeight="1">
      <c r="B25" s="77"/>
      <c r="C25" s="77"/>
      <c r="D25" s="77"/>
      <c r="E25" s="77"/>
      <c r="F25" s="77"/>
      <c r="G25" s="77"/>
      <c r="H25" s="77"/>
      <c r="I25" s="79"/>
      <c r="J25" s="79"/>
      <c r="K25" s="79"/>
      <c r="L25" s="78"/>
      <c r="M25" s="78"/>
      <c r="N25" s="78"/>
      <c r="O25" s="2"/>
    </row>
    <row r="26" spans="2:15" ht="15" customHeight="1">
      <c r="B26" s="16" t="s">
        <v>46</v>
      </c>
      <c r="C26" s="13" t="s">
        <v>47</v>
      </c>
      <c r="D26" s="12" t="s">
        <v>70</v>
      </c>
      <c r="E26" s="12" t="s">
        <v>71</v>
      </c>
      <c r="F26" s="21"/>
      <c r="G26" s="22" t="s">
        <v>72</v>
      </c>
      <c r="H26" s="22" t="s">
        <v>73</v>
      </c>
      <c r="I26" s="80" t="s">
        <v>74</v>
      </c>
      <c r="J26" s="80"/>
      <c r="K26" s="80"/>
      <c r="L26" s="81" t="s">
        <v>75</v>
      </c>
      <c r="M26" s="81"/>
      <c r="N26" s="23" t="s">
        <v>76</v>
      </c>
      <c r="O26" s="2"/>
    </row>
    <row r="27" spans="2:15" ht="14.25" customHeight="1">
      <c r="B27" s="23"/>
      <c r="C27" s="23"/>
      <c r="D27" s="23"/>
      <c r="E27" s="23"/>
      <c r="F27" s="23"/>
      <c r="G27" s="23"/>
      <c r="H27" s="23"/>
      <c r="I27" s="82"/>
      <c r="J27" s="82"/>
      <c r="K27" s="82"/>
      <c r="L27" s="81"/>
      <c r="M27" s="81"/>
      <c r="N27" s="23"/>
      <c r="O27" s="2"/>
    </row>
    <row r="28" spans="2:15" ht="14.25" customHeight="1">
      <c r="B28" s="23"/>
      <c r="C28" s="23"/>
      <c r="D28" s="23"/>
      <c r="E28" s="23"/>
      <c r="F28" s="23"/>
      <c r="G28" s="23"/>
      <c r="H28" s="23"/>
      <c r="I28" s="82"/>
      <c r="J28" s="82"/>
      <c r="K28" s="82"/>
      <c r="L28" s="81"/>
      <c r="M28" s="81"/>
      <c r="N28" s="23"/>
      <c r="O28" s="2"/>
    </row>
    <row r="29" spans="2:15" ht="14.25" customHeight="1">
      <c r="B29" s="2"/>
      <c r="C29" s="2"/>
      <c r="D29" s="24"/>
      <c r="E29" s="2"/>
      <c r="F29" s="2"/>
      <c r="G29" s="2"/>
      <c r="H29" s="24"/>
      <c r="I29" s="2"/>
      <c r="J29" s="2"/>
      <c r="K29" s="2"/>
      <c r="L29" s="2"/>
      <c r="M29" s="2"/>
      <c r="N29" s="2"/>
    </row>
    <row r="30" spans="2:15" ht="15" customHeight="1">
      <c r="B30" s="83" t="s">
        <v>77</v>
      </c>
      <c r="C30" s="83"/>
      <c r="D30" s="83"/>
      <c r="E30" s="83"/>
      <c r="F30" s="25"/>
      <c r="G30" s="84" t="s">
        <v>78</v>
      </c>
      <c r="H30" s="84"/>
      <c r="I30" s="85" t="s">
        <v>79</v>
      </c>
      <c r="J30" s="85"/>
      <c r="K30" s="4" t="s">
        <v>17</v>
      </c>
      <c r="L30" s="4"/>
      <c r="M30" s="2"/>
      <c r="N30" s="2"/>
    </row>
    <row r="31" spans="2:15" ht="14.25" customHeight="1">
      <c r="B31" s="26" t="s">
        <v>80</v>
      </c>
      <c r="C31" s="27"/>
      <c r="D31" s="80" t="s">
        <v>81</v>
      </c>
      <c r="E31" s="80"/>
      <c r="F31" s="2"/>
      <c r="G31" s="86" t="s">
        <v>82</v>
      </c>
      <c r="H31" s="86"/>
      <c r="I31" s="87" t="s">
        <v>83</v>
      </c>
      <c r="J31" s="87"/>
      <c r="K31" s="88" t="s">
        <v>84</v>
      </c>
      <c r="L31" s="88"/>
      <c r="M31" s="2"/>
      <c r="N31" s="2"/>
    </row>
    <row r="32" spans="2:15" ht="14.25" customHeight="1">
      <c r="B32" s="26" t="s">
        <v>85</v>
      </c>
      <c r="C32" s="27"/>
      <c r="D32" s="80" t="s">
        <v>86</v>
      </c>
      <c r="E32" s="80"/>
      <c r="F32" s="2"/>
      <c r="G32" s="2"/>
      <c r="H32" s="2"/>
      <c r="I32" s="2"/>
      <c r="J32" s="2"/>
      <c r="K32" s="2"/>
      <c r="L32" s="2"/>
      <c r="M32" s="2"/>
      <c r="N32" s="2"/>
    </row>
    <row r="33" spans="2:14">
      <c r="B33" s="26" t="s">
        <v>87</v>
      </c>
      <c r="C33" s="27"/>
      <c r="D33" s="28" t="s">
        <v>88</v>
      </c>
      <c r="E33" s="28" t="s">
        <v>89</v>
      </c>
      <c r="F33" s="2"/>
      <c r="G33" s="2"/>
      <c r="H33" s="2"/>
      <c r="I33" s="2"/>
      <c r="J33" s="2"/>
      <c r="K33" s="2"/>
      <c r="L33" s="2"/>
      <c r="M33" s="2"/>
      <c r="N33" s="2"/>
    </row>
    <row r="34" spans="2:14" ht="14.25" customHeight="1">
      <c r="B34" s="29" t="s">
        <v>90</v>
      </c>
      <c r="C34" s="30"/>
      <c r="D34" s="28" t="s">
        <v>91</v>
      </c>
      <c r="E34" s="28" t="s">
        <v>92</v>
      </c>
      <c r="F34" s="2"/>
      <c r="G34" s="2"/>
      <c r="H34" s="2"/>
      <c r="I34" s="2"/>
      <c r="J34" s="2"/>
      <c r="K34" s="2"/>
      <c r="L34" s="2"/>
    </row>
    <row r="35" spans="2:14" ht="14.25" customHeight="1"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</row>
    <row r="36" spans="2:14" ht="21" customHeight="1">
      <c r="B36" s="31" t="s">
        <v>93</v>
      </c>
      <c r="C36" s="32"/>
      <c r="D36" s="32"/>
      <c r="E36" s="33"/>
      <c r="F36" s="34"/>
      <c r="G36" s="89" t="s">
        <v>94</v>
      </c>
      <c r="H36" s="89"/>
      <c r="I36" s="35" t="s">
        <v>95</v>
      </c>
      <c r="J36" s="34"/>
    </row>
    <row r="37" spans="2:14" ht="15" customHeight="1">
      <c r="B37" s="90" t="s">
        <v>96</v>
      </c>
      <c r="C37" s="90"/>
      <c r="D37" s="90"/>
      <c r="E37" s="90"/>
      <c r="F37" s="34"/>
      <c r="G37" s="89" t="s">
        <v>97</v>
      </c>
      <c r="H37" s="89"/>
      <c r="I37" s="35" t="s">
        <v>98</v>
      </c>
      <c r="J37" s="34"/>
    </row>
    <row r="38" spans="2:14" ht="25.5" customHeight="1">
      <c r="B38" s="90"/>
      <c r="C38" s="90"/>
      <c r="D38" s="90"/>
      <c r="E38" s="90"/>
      <c r="F38" s="34"/>
      <c r="G38" s="89" t="s">
        <v>99</v>
      </c>
      <c r="H38" s="89"/>
      <c r="I38" s="36" t="s">
        <v>100</v>
      </c>
      <c r="J38" s="34"/>
    </row>
    <row r="39" spans="2:14" ht="14.25" customHeight="1">
      <c r="B39" s="90"/>
      <c r="C39" s="90"/>
      <c r="D39" s="90"/>
      <c r="E39" s="90"/>
      <c r="F39" s="34"/>
      <c r="G39" s="34"/>
      <c r="H39" s="34"/>
      <c r="I39" s="34"/>
      <c r="J39" s="34"/>
    </row>
    <row r="40" spans="2:14" ht="14.25" customHeight="1">
      <c r="B40" s="90"/>
      <c r="C40" s="90"/>
      <c r="D40" s="90"/>
      <c r="E40" s="90"/>
      <c r="F40" s="34"/>
      <c r="G40" s="34"/>
      <c r="H40" s="2"/>
      <c r="I40" s="34"/>
      <c r="J40" s="34"/>
    </row>
    <row r="41" spans="2:14" ht="14.25" customHeight="1">
      <c r="B41" s="90"/>
      <c r="C41" s="90"/>
      <c r="D41" s="90"/>
      <c r="E41" s="90"/>
      <c r="F41" s="34"/>
      <c r="G41" s="34"/>
      <c r="H41" s="2"/>
      <c r="I41" s="34"/>
      <c r="J41" s="34"/>
    </row>
    <row r="42" spans="2:14" ht="14.25" customHeight="1">
      <c r="B42" s="34"/>
      <c r="C42" s="34"/>
      <c r="D42" s="34"/>
      <c r="E42" s="34"/>
      <c r="F42" s="34"/>
      <c r="H42" s="2"/>
      <c r="I42" s="2"/>
      <c r="J42" s="2"/>
    </row>
    <row r="43" spans="2:14" ht="14.25" customHeight="1">
      <c r="B43" s="34"/>
      <c r="C43" s="34"/>
      <c r="D43" s="34"/>
      <c r="E43" s="34"/>
      <c r="F43" s="34"/>
      <c r="H43" s="2"/>
      <c r="I43" s="2"/>
      <c r="J43" s="2"/>
    </row>
    <row r="44" spans="2:14" ht="14.25" customHeight="1">
      <c r="B44" s="34"/>
      <c r="C44" s="34"/>
      <c r="D44" s="34"/>
      <c r="E44" s="34"/>
      <c r="H44" s="37"/>
      <c r="I44" s="2"/>
      <c r="J44" s="2"/>
      <c r="K44" s="2"/>
    </row>
    <row r="45" spans="2:14" ht="14.25" customHeight="1">
      <c r="B45" s="34"/>
      <c r="C45" s="34"/>
      <c r="D45" s="34"/>
      <c r="E45" s="34"/>
      <c r="H45" s="37"/>
      <c r="I45" s="2"/>
      <c r="J45" s="2"/>
      <c r="K45" s="2"/>
    </row>
    <row r="46" spans="2:14" ht="14.25" customHeight="1">
      <c r="B46" s="34"/>
      <c r="C46" s="34"/>
      <c r="D46" s="34"/>
      <c r="E46" s="34"/>
      <c r="H46" s="37"/>
      <c r="I46" s="37"/>
      <c r="J46" s="37"/>
    </row>
    <row r="47" spans="2:14" ht="14.25" customHeight="1">
      <c r="B47" s="34"/>
      <c r="C47" s="34"/>
      <c r="D47" s="34"/>
      <c r="E47" s="34"/>
      <c r="H47" s="24"/>
      <c r="I47" s="37"/>
      <c r="J47" s="37"/>
    </row>
    <row r="48" spans="2:14" ht="14.25" customHeight="1">
      <c r="B48" s="34"/>
      <c r="C48" s="34"/>
      <c r="D48" s="34"/>
      <c r="E48" s="34"/>
      <c r="G48" s="34"/>
      <c r="I48" s="37"/>
      <c r="J48" s="37"/>
    </row>
    <row r="49" spans="2:10" ht="14.25" customHeight="1">
      <c r="B49" s="34"/>
      <c r="C49" s="34"/>
      <c r="D49" s="34"/>
      <c r="E49" s="34"/>
      <c r="G49" s="34"/>
      <c r="I49" s="2"/>
      <c r="J49" s="2"/>
    </row>
    <row r="50" spans="2:10" ht="14.25" customHeight="1">
      <c r="B50" s="34"/>
      <c r="C50" s="34"/>
      <c r="D50" s="34"/>
      <c r="E50" s="34"/>
      <c r="F50" s="34"/>
    </row>
    <row r="51" spans="2:10" ht="14.25" customHeight="1">
      <c r="B51" s="34"/>
      <c r="C51" s="34"/>
      <c r="D51" s="34"/>
      <c r="E51" s="34"/>
      <c r="F51" s="34"/>
    </row>
    <row r="53" spans="2:10" ht="14.25" customHeight="1">
      <c r="J53" s="38"/>
    </row>
  </sheetData>
  <mergeCells count="73">
    <mergeCell ref="K31:L31"/>
    <mergeCell ref="D32:E32"/>
    <mergeCell ref="G36:H36"/>
    <mergeCell ref="B37:E41"/>
    <mergeCell ref="G37:H37"/>
    <mergeCell ref="G38:H38"/>
    <mergeCell ref="B30:E30"/>
    <mergeCell ref="G30:H30"/>
    <mergeCell ref="I30:J30"/>
    <mergeCell ref="D31:E31"/>
    <mergeCell ref="G31:H31"/>
    <mergeCell ref="I31:J31"/>
    <mergeCell ref="I26:K26"/>
    <mergeCell ref="L26:M26"/>
    <mergeCell ref="I27:K27"/>
    <mergeCell ref="L27:M27"/>
    <mergeCell ref="I28:K28"/>
    <mergeCell ref="L28:M28"/>
    <mergeCell ref="K19:L19"/>
    <mergeCell ref="K20:L20"/>
    <mergeCell ref="K21:L21"/>
    <mergeCell ref="B23:N23"/>
    <mergeCell ref="B24:B25"/>
    <mergeCell ref="C24:C25"/>
    <mergeCell ref="D24:D25"/>
    <mergeCell ref="E24:E25"/>
    <mergeCell ref="F24:F25"/>
    <mergeCell ref="G24:G25"/>
    <mergeCell ref="H24:H25"/>
    <mergeCell ref="I24:K25"/>
    <mergeCell ref="L24:M25"/>
    <mergeCell ref="N24:N25"/>
    <mergeCell ref="G16:G18"/>
    <mergeCell ref="H16:H18"/>
    <mergeCell ref="I16:I18"/>
    <mergeCell ref="J16:L17"/>
    <mergeCell ref="M16:N17"/>
    <mergeCell ref="K18:L18"/>
    <mergeCell ref="B16:B18"/>
    <mergeCell ref="C16:C18"/>
    <mergeCell ref="D16:D18"/>
    <mergeCell ref="E16:E18"/>
    <mergeCell ref="F16:F18"/>
    <mergeCell ref="B13:C13"/>
    <mergeCell ref="D13:E13"/>
    <mergeCell ref="G13:H13"/>
    <mergeCell ref="I13:K13"/>
    <mergeCell ref="B15:N15"/>
    <mergeCell ref="B12:C12"/>
    <mergeCell ref="D12:E12"/>
    <mergeCell ref="G12:H12"/>
    <mergeCell ref="I12:K12"/>
    <mergeCell ref="L12:M12"/>
    <mergeCell ref="B11:C11"/>
    <mergeCell ref="D11:E11"/>
    <mergeCell ref="G11:H11"/>
    <mergeCell ref="I11:K11"/>
    <mergeCell ref="L11:M11"/>
    <mergeCell ref="B10:C10"/>
    <mergeCell ref="D10:E10"/>
    <mergeCell ref="G10:H10"/>
    <mergeCell ref="I10:K10"/>
    <mergeCell ref="L10:M10"/>
    <mergeCell ref="B9:C9"/>
    <mergeCell ref="D9:E9"/>
    <mergeCell ref="G9:H9"/>
    <mergeCell ref="I9:K9"/>
    <mergeCell ref="L9:M9"/>
    <mergeCell ref="C3:G3"/>
    <mergeCell ref="J3:M3"/>
    <mergeCell ref="C4:G4"/>
    <mergeCell ref="J4:M4"/>
    <mergeCell ref="B8:N8"/>
  </mergeCells>
  <dataValidations count="1">
    <dataValidation type="list" allowBlank="1" showInputMessage="1" showErrorMessage="1" sqref="F26:F28" xr:uid="{00000000-0002-0000-0000-000000000000}">
      <formula1>"กล่อง,เม็ด,ไวอัล,แอมพูล,ขวด,box,tablet,vial,ampoul,bottle"</formula1>
      <formula2>0</formula2>
    </dataValidation>
  </dataValidations>
  <pageMargins left="0.7" right="0.7" top="0.75" bottom="0.75" header="0.511811023622047" footer="0.3"/>
  <pageSetup orientation="landscape" horizontalDpi="300" verticalDpi="300"/>
  <headerFooter>
    <oddFooter>&amp;R&amp;22 &amp;Kff8939_x005F_x000d_# RESTRICTED</oddFooter>
  </headerFooter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005" r:id="rId3" name="Option Button 981">
              <controlPr defaultSize="0" autoFill="0" autoLine="0" autoPict="0">
                <anchor moveWithCells="1">
                  <from>
                    <xdr:col>6</xdr:col>
                    <xdr:colOff>38100</xdr:colOff>
                    <xdr:row>31</xdr:row>
                    <xdr:rowOff>152400</xdr:rowOff>
                  </from>
                  <to>
                    <xdr:col>7</xdr:col>
                    <xdr:colOff>146050</xdr:colOff>
                    <xdr:row>33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07" r:id="rId4" name="Option Button 983">
              <controlPr defaultSize="0" autoFill="0" autoLine="0" autoPict="0">
                <anchor moveWithCells="1">
                  <from>
                    <xdr:col>6</xdr:col>
                    <xdr:colOff>2489200</xdr:colOff>
                    <xdr:row>31</xdr:row>
                    <xdr:rowOff>171450</xdr:rowOff>
                  </from>
                  <to>
                    <xdr:col>8</xdr:col>
                    <xdr:colOff>0</xdr:colOff>
                    <xdr:row>33</xdr:row>
                    <xdr:rowOff>12700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08" r:id="rId5" name="Option Button 984">
              <controlPr defaultSize="0" autoFill="0" autoLine="0" autoPict="0">
                <anchor moveWithCells="1">
                  <from>
                    <xdr:col>7</xdr:col>
                    <xdr:colOff>3625850</xdr:colOff>
                    <xdr:row>31</xdr:row>
                    <xdr:rowOff>146050</xdr:rowOff>
                  </from>
                  <to>
                    <xdr:col>9</xdr:col>
                    <xdr:colOff>25400</xdr:colOff>
                    <xdr:row>33</xdr:row>
                    <xdr:rowOff>44450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A54"/>
  <sheetViews>
    <sheetView topLeftCell="A5" zoomScale="85" zoomScaleNormal="85" workbookViewId="0">
      <selection activeCell="C16" sqref="C16"/>
    </sheetView>
  </sheetViews>
  <sheetFormatPr defaultColWidth="8.6328125" defaultRowHeight="14.5"/>
  <cols>
    <col min="1" max="1" width="43.54296875" customWidth="1"/>
    <col min="2" max="2" width="50.26953125" customWidth="1"/>
    <col min="3" max="3" width="50.26953125" style="10" customWidth="1"/>
    <col min="4" max="4" width="47.26953125" customWidth="1"/>
    <col min="5" max="5" width="36.7265625" customWidth="1"/>
    <col min="6" max="6" width="46.7265625" customWidth="1"/>
    <col min="7" max="7" width="44.26953125" customWidth="1"/>
    <col min="8" max="8" width="52.26953125" customWidth="1"/>
    <col min="9" max="9" width="69.26953125" customWidth="1"/>
    <col min="10" max="10" width="75.453125" customWidth="1"/>
    <col min="11" max="11" width="42.26953125" customWidth="1"/>
    <col min="12" max="12" width="40.54296875" customWidth="1"/>
    <col min="13" max="13" width="42.1796875" customWidth="1"/>
    <col min="14" max="14" width="41.7265625" customWidth="1"/>
    <col min="15" max="15" width="52.81640625" customWidth="1"/>
    <col min="16" max="16" width="36.26953125" customWidth="1"/>
    <col min="17" max="17" width="46.7265625" customWidth="1"/>
    <col min="18" max="18" width="16.26953125" customWidth="1"/>
    <col min="19" max="19" width="39.54296875" customWidth="1"/>
    <col min="20" max="20" width="38.81640625" customWidth="1"/>
    <col min="21" max="21" width="27.1796875" customWidth="1"/>
    <col min="22" max="22" width="43.26953125" customWidth="1"/>
    <col min="23" max="26" width="30.453125" customWidth="1"/>
    <col min="27" max="27" width="35.81640625" customWidth="1"/>
  </cols>
  <sheetData>
    <row r="1" spans="1:3" ht="14.25" customHeight="1">
      <c r="A1" s="39" t="s">
        <v>101</v>
      </c>
      <c r="B1" s="39" t="s">
        <v>102</v>
      </c>
      <c r="C1" s="40"/>
    </row>
    <row r="2" spans="1:3" ht="14.25" customHeight="1">
      <c r="A2" t="s">
        <v>103</v>
      </c>
      <c r="B2" t="s">
        <v>104</v>
      </c>
      <c r="C2" s="91"/>
    </row>
    <row r="3" spans="1:3" ht="14.25" customHeight="1">
      <c r="A3" t="s">
        <v>105</v>
      </c>
      <c r="B3" t="s">
        <v>106</v>
      </c>
      <c r="C3" s="91"/>
    </row>
    <row r="4" spans="1:3" ht="14.25" customHeight="1">
      <c r="A4" t="s">
        <v>16</v>
      </c>
      <c r="B4" t="s">
        <v>107</v>
      </c>
      <c r="C4" s="91"/>
    </row>
    <row r="5" spans="1:3" ht="14.25" customHeight="1">
      <c r="A5" t="s">
        <v>21</v>
      </c>
      <c r="B5" t="s">
        <v>20</v>
      </c>
      <c r="C5" s="91"/>
    </row>
    <row r="6" spans="1:3" ht="14.25" customHeight="1">
      <c r="A6" t="s">
        <v>25</v>
      </c>
      <c r="B6" t="s">
        <v>24</v>
      </c>
      <c r="C6" s="91"/>
    </row>
    <row r="7" spans="1:3" ht="14.25" customHeight="1">
      <c r="A7" t="s">
        <v>27</v>
      </c>
      <c r="B7" t="s">
        <v>26</v>
      </c>
    </row>
    <row r="8" spans="1:3" ht="14.25" customHeight="1">
      <c r="A8" t="s">
        <v>30</v>
      </c>
      <c r="B8" t="s">
        <v>29</v>
      </c>
    </row>
    <row r="9" spans="1:3" ht="14.25" customHeight="1">
      <c r="A9" t="s">
        <v>108</v>
      </c>
      <c r="B9" t="s">
        <v>109</v>
      </c>
    </row>
    <row r="10" spans="1:3" ht="14.25" customHeight="1">
      <c r="A10" t="s">
        <v>110</v>
      </c>
      <c r="B10" t="s">
        <v>111</v>
      </c>
    </row>
    <row r="11" spans="1:3" ht="14.25" customHeight="1">
      <c r="A11" t="s">
        <v>3</v>
      </c>
      <c r="B11" t="s">
        <v>2</v>
      </c>
    </row>
    <row r="12" spans="1:3" ht="14.25" customHeight="1">
      <c r="A12" t="s">
        <v>1</v>
      </c>
      <c r="B12" t="s">
        <v>0</v>
      </c>
    </row>
    <row r="13" spans="1:3" ht="14.25" customHeight="1">
      <c r="A13" t="s">
        <v>5</v>
      </c>
      <c r="B13" t="s">
        <v>4</v>
      </c>
    </row>
    <row r="14" spans="1:3" ht="14.25" customHeight="1">
      <c r="A14" t="s">
        <v>112</v>
      </c>
      <c r="B14" t="s">
        <v>14</v>
      </c>
    </row>
    <row r="15" spans="1:3" ht="14.25" customHeight="1">
      <c r="A15" t="s">
        <v>113</v>
      </c>
      <c r="B15" t="s">
        <v>114</v>
      </c>
    </row>
    <row r="16" spans="1:3" ht="14.25" customHeight="1">
      <c r="A16" t="s">
        <v>115</v>
      </c>
      <c r="B16" t="s">
        <v>116</v>
      </c>
    </row>
    <row r="17" spans="1:27" ht="34.5" customHeight="1">
      <c r="A17">
        <v>0</v>
      </c>
      <c r="B17" s="41" t="s">
        <v>117</v>
      </c>
      <c r="C17" s="42"/>
    </row>
    <row r="18" spans="1:27" ht="14.25" customHeight="1">
      <c r="A18" s="39" t="s">
        <v>118</v>
      </c>
    </row>
    <row r="19" spans="1:27" ht="14.25" customHeight="1">
      <c r="A19" s="43" t="s">
        <v>119</v>
      </c>
      <c r="B19" s="44" t="s">
        <v>120</v>
      </c>
      <c r="C19" s="45" t="s">
        <v>121</v>
      </c>
      <c r="D19" s="46" t="s">
        <v>122</v>
      </c>
      <c r="E19" s="46" t="s">
        <v>123</v>
      </c>
      <c r="F19" s="46" t="s">
        <v>124</v>
      </c>
      <c r="G19" s="46" t="s">
        <v>125</v>
      </c>
      <c r="H19" s="46" t="s">
        <v>126</v>
      </c>
      <c r="I19" s="46" t="s">
        <v>127</v>
      </c>
      <c r="J19" s="46" t="s">
        <v>128</v>
      </c>
      <c r="K19" s="46" t="s">
        <v>129</v>
      </c>
      <c r="L19" s="46" t="s">
        <v>130</v>
      </c>
      <c r="M19" s="46" t="s">
        <v>40</v>
      </c>
      <c r="N19" s="46" t="s">
        <v>131</v>
      </c>
      <c r="O19" s="46" t="s">
        <v>132</v>
      </c>
      <c r="P19" s="46" t="s">
        <v>133</v>
      </c>
      <c r="Q19" s="46" t="s">
        <v>134</v>
      </c>
      <c r="R19" s="46" t="s">
        <v>135</v>
      </c>
      <c r="S19" s="46" t="s">
        <v>136</v>
      </c>
      <c r="T19" s="46" t="s">
        <v>137</v>
      </c>
      <c r="U19" s="46" t="s">
        <v>138</v>
      </c>
      <c r="V19" s="46" t="s">
        <v>139</v>
      </c>
      <c r="W19" s="46" t="s">
        <v>140</v>
      </c>
      <c r="X19" s="46" t="s">
        <v>65</v>
      </c>
      <c r="Y19" s="46" t="s">
        <v>141</v>
      </c>
      <c r="Z19" s="46" t="s">
        <v>66</v>
      </c>
      <c r="AA19" s="46" t="s">
        <v>142</v>
      </c>
    </row>
    <row r="20" spans="1:27" ht="14.25" customHeight="1">
      <c r="A20" s="47" t="s">
        <v>143</v>
      </c>
      <c r="B20" s="48" t="s">
        <v>144</v>
      </c>
      <c r="C20" s="10" t="s">
        <v>49</v>
      </c>
      <c r="D20" t="s">
        <v>50</v>
      </c>
      <c r="E20" t="s">
        <v>51</v>
      </c>
      <c r="F20" s="49" t="s">
        <v>54</v>
      </c>
      <c r="G20" t="s">
        <v>145</v>
      </c>
      <c r="H20" s="49" t="s">
        <v>55</v>
      </c>
      <c r="I20" s="49" t="s">
        <v>56</v>
      </c>
      <c r="J20" s="49" t="s">
        <v>57</v>
      </c>
      <c r="K20" t="s">
        <v>146</v>
      </c>
      <c r="L20" t="s">
        <v>46</v>
      </c>
      <c r="M20" t="s">
        <v>52</v>
      </c>
      <c r="N20" t="s">
        <v>147</v>
      </c>
      <c r="O20" t="s">
        <v>76</v>
      </c>
      <c r="P20" t="s">
        <v>148</v>
      </c>
      <c r="Q20" t="s">
        <v>149</v>
      </c>
      <c r="R20" t="e">
        <f>IF(E20&gt;0,IF(E20="Unit",CONCATENATE(Settings!Q20," ",Settings!E20,"s"),CONCATENATE((Settings!Q20/Settings!M20)," ",Settings!E20,"s")),"")</f>
        <v>#VALUE!</v>
      </c>
      <c r="S20" s="50" t="s">
        <v>150</v>
      </c>
      <c r="T20" s="50" t="s">
        <v>151</v>
      </c>
      <c r="U20" s="50" t="s">
        <v>152</v>
      </c>
      <c r="V20" t="s">
        <v>59</v>
      </c>
      <c r="W20" t="s">
        <v>153</v>
      </c>
      <c r="X20" t="s">
        <v>72</v>
      </c>
      <c r="Y20" t="s">
        <v>74</v>
      </c>
      <c r="Z20" t="s">
        <v>73</v>
      </c>
      <c r="AA20" t="s">
        <v>60</v>
      </c>
    </row>
    <row r="21" spans="1:27" ht="14.25" customHeight="1">
      <c r="A21" s="47"/>
      <c r="B21" s="48"/>
      <c r="F21" s="49"/>
      <c r="H21" s="49"/>
      <c r="I21" s="49"/>
      <c r="J21" s="49"/>
      <c r="R21" t="str">
        <f>IF(E21&gt;0,IF(E21="Unit",CONCATENATE(Settings!Q21," ",Settings!E21,"s"),CONCATENATE((Settings!Q21/Settings!M21)," ",Settings!E21,"s")),"")</f>
        <v/>
      </c>
    </row>
    <row r="22" spans="1:27" ht="14.25" customHeight="1">
      <c r="A22" s="47"/>
      <c r="B22" s="48"/>
      <c r="F22" s="49"/>
      <c r="H22" s="49"/>
      <c r="I22" s="49"/>
      <c r="J22" s="49"/>
      <c r="R22" t="str">
        <f>IF(E22&gt;0,IF(E22="Unit",CONCATENATE(Settings!Q22," ",Settings!E22,"s"),CONCATENATE((Settings!Q22/Settings!M22)," ",Settings!E22,"s")),"")</f>
        <v/>
      </c>
    </row>
    <row r="23" spans="1:27" ht="14.25" customHeight="1">
      <c r="A23" s="47"/>
      <c r="B23" s="48"/>
      <c r="F23" s="49"/>
      <c r="H23" s="49"/>
      <c r="I23" s="49"/>
      <c r="J23" s="49"/>
      <c r="R23" t="str">
        <f>IF(E23&gt;0,IF(E23="Unit",CONCATENATE(Settings!Q23," ",Settings!E23,"s"),CONCATENATE((Settings!Q23/Settings!M23)," ",Settings!E23,"s")),"")</f>
        <v/>
      </c>
    </row>
    <row r="24" spans="1:27" ht="14.25" customHeight="1">
      <c r="A24" s="47"/>
      <c r="B24" s="48"/>
      <c r="F24" s="49"/>
      <c r="H24" s="49"/>
      <c r="I24" s="49"/>
      <c r="J24" s="49"/>
      <c r="R24" t="str">
        <f>IF(E24&gt;0,IF(E24="Unit",CONCATENATE(Settings!Q24," ",Settings!E24,"s"),CONCATENATE((Settings!Q24/Settings!M24)," ",Settings!E24,"s")),"")</f>
        <v/>
      </c>
    </row>
    <row r="25" spans="1:27" ht="14.25" customHeight="1">
      <c r="A25" s="47"/>
      <c r="B25" s="48"/>
      <c r="F25" s="49"/>
      <c r="H25" s="49"/>
      <c r="I25" s="49"/>
      <c r="J25" s="49"/>
      <c r="R25" t="str">
        <f>IF(E25&gt;0,IF(E25="Unit",CONCATENATE(Settings!Q25," ",Settings!E25,"s"),CONCATENATE((Settings!Q25/Settings!M25)," ",Settings!E25,"s")),"")</f>
        <v/>
      </c>
    </row>
    <row r="26" spans="1:27" ht="14.25" customHeight="1">
      <c r="A26" s="47"/>
      <c r="B26" s="48"/>
      <c r="F26" s="49"/>
      <c r="H26" s="49"/>
      <c r="I26" s="49"/>
      <c r="J26" s="49"/>
      <c r="R26" t="str">
        <f>IF(E26&gt;0,IF(E26="Unit",CONCATENATE(Settings!Q26," ",Settings!E26,"s"),CONCATENATE((Settings!Q26/Settings!M26)," ",Settings!E26,"s")),"")</f>
        <v/>
      </c>
    </row>
    <row r="27" spans="1:27" ht="14.25" customHeight="1">
      <c r="A27" s="47"/>
      <c r="B27" s="48"/>
      <c r="F27" s="49"/>
      <c r="H27" s="49"/>
      <c r="I27" s="49"/>
      <c r="J27" s="49"/>
      <c r="R27" t="str">
        <f>IF(E27&gt;0,IF(E27="Unit",CONCATENATE(Settings!Q27," ",Settings!E27,"s"),CONCATENATE((Settings!Q27/Settings!M27)," ",Settings!E27,"s")),"")</f>
        <v/>
      </c>
    </row>
    <row r="28" spans="1:27" ht="14.25" customHeight="1">
      <c r="A28" s="47"/>
      <c r="B28" s="48"/>
      <c r="F28" s="49"/>
      <c r="H28" s="49"/>
      <c r="I28" s="49"/>
      <c r="J28" s="49"/>
      <c r="R28" t="str">
        <f>IF(E28&gt;0,IF(E28="Unit",CONCATENATE(Settings!Q28," ",Settings!E28,"s"),CONCATENATE((Settings!Q28/Settings!M28)," ",Settings!E28,"s")),"")</f>
        <v/>
      </c>
    </row>
    <row r="29" spans="1:27" ht="14.25" customHeight="1">
      <c r="A29" s="47"/>
      <c r="B29" s="48"/>
      <c r="F29" s="49"/>
      <c r="H29" s="49"/>
      <c r="I29" s="49"/>
      <c r="J29" s="49"/>
      <c r="R29" t="str">
        <f>IF(E29&gt;0,IF(E29="Unit",CONCATENATE(Settings!Q29," ",Settings!E29,"s"),CONCATENATE((Settings!Q29/Settings!M29)," ",Settings!E29,"s")),"")</f>
        <v/>
      </c>
    </row>
    <row r="30" spans="1:27" ht="14.25" customHeight="1">
      <c r="A30" s="47"/>
      <c r="B30" s="48"/>
      <c r="F30" s="49"/>
      <c r="H30" s="49"/>
      <c r="I30" s="49"/>
      <c r="J30" s="49"/>
      <c r="R30" t="str">
        <f>IF(E30&gt;0,IF(E30="Unit",CONCATENATE(Settings!Q30," ",Settings!E30,"s"),CONCATENATE((Settings!Q30/Settings!M30)," ",Settings!E30,"s")),"")</f>
        <v/>
      </c>
    </row>
    <row r="31" spans="1:27" ht="14.25" customHeight="1">
      <c r="A31" s="47"/>
      <c r="B31" s="48"/>
      <c r="F31" s="49"/>
      <c r="H31" s="49"/>
      <c r="I31" s="49"/>
      <c r="J31" s="49"/>
      <c r="R31" t="str">
        <f>IF(E31&gt;0,IF(E31="Unit",CONCATENATE(Settings!Q31," ",Settings!E31,"s"),CONCATENATE((Settings!Q31/Settings!M31)," ",Settings!E31,"s")),"")</f>
        <v/>
      </c>
    </row>
    <row r="32" spans="1:27" ht="14.25" customHeight="1">
      <c r="A32" s="47"/>
      <c r="B32" s="48"/>
      <c r="F32" s="49"/>
      <c r="H32" s="49"/>
      <c r="I32" s="49"/>
      <c r="J32" s="49"/>
      <c r="R32" t="str">
        <f>IF(E32&gt;0,IF(E32="Unit",CONCATENATE(Settings!Q32," ",Settings!E32,"s"),CONCATENATE((Settings!Q32/Settings!M32)," ",Settings!E32,"s")),"")</f>
        <v/>
      </c>
    </row>
    <row r="33" spans="1:18" ht="14.25" customHeight="1">
      <c r="A33" s="47"/>
      <c r="B33" s="48"/>
      <c r="F33" s="49"/>
      <c r="H33" s="49"/>
      <c r="I33" s="49"/>
      <c r="J33" s="49"/>
      <c r="R33" t="str">
        <f>IF(E33&gt;0,IF(E33="Unit",CONCATENATE(Settings!Q33," ",Settings!E33,"s"),CONCATENATE((Settings!Q33/Settings!M33)," ",Settings!E33,"s")),"")</f>
        <v/>
      </c>
    </row>
    <row r="34" spans="1:18" ht="14.25" customHeight="1">
      <c r="A34" s="47"/>
      <c r="B34" s="48"/>
      <c r="F34" s="49"/>
      <c r="H34" s="49"/>
      <c r="I34" s="49"/>
      <c r="J34" s="49"/>
      <c r="R34" t="str">
        <f>IF(E34&gt;0,IF(E34="Unit",CONCATENATE(Settings!Q34," ",Settings!E34,"s"),CONCATENATE((Settings!Q34/Settings!M34)," ",Settings!E34,"s")),"")</f>
        <v/>
      </c>
    </row>
    <row r="35" spans="1:18" ht="14.25" customHeight="1">
      <c r="A35" s="47"/>
      <c r="B35" s="48"/>
      <c r="F35" s="49"/>
      <c r="H35" s="49"/>
      <c r="I35" s="49"/>
      <c r="J35" s="49"/>
      <c r="R35" t="str">
        <f>IF(E35&gt;0,IF(E35="Unit",CONCATENATE(Settings!Q35," ",Settings!E35,"s"),CONCATENATE((Settings!Q35/Settings!M35)," ",Settings!E35,"s")),"")</f>
        <v/>
      </c>
    </row>
    <row r="36" spans="1:18" ht="14.25" customHeight="1">
      <c r="A36" s="47"/>
      <c r="B36" s="48"/>
      <c r="F36" s="49"/>
      <c r="H36" s="49"/>
      <c r="I36" s="49"/>
      <c r="J36" s="49"/>
      <c r="R36" t="str">
        <f>IF(E36&gt;0,IF(E36="Unit",CONCATENATE(Settings!Q36," ",Settings!E36,"s"),CONCATENATE((Settings!Q36/Settings!M36)," ",Settings!E36,"s")),"")</f>
        <v/>
      </c>
    </row>
    <row r="37" spans="1:18" ht="14.25" customHeight="1">
      <c r="A37" s="47"/>
      <c r="B37" s="48"/>
      <c r="F37" s="49"/>
      <c r="H37" s="49"/>
      <c r="I37" s="49"/>
      <c r="J37" s="49"/>
      <c r="R37" t="str">
        <f>IF(E37&gt;0,IF(E37="Unit",CONCATENATE(Settings!Q37," ",Settings!E37,"s"),CONCATENATE((Settings!Q37/Settings!M37)," ",Settings!E37,"s")),"")</f>
        <v/>
      </c>
    </row>
    <row r="38" spans="1:18" ht="14.25" customHeight="1">
      <c r="A38" s="47"/>
      <c r="B38" s="48"/>
      <c r="F38" s="49"/>
      <c r="H38" s="49"/>
      <c r="I38" s="49"/>
      <c r="J38" s="49"/>
      <c r="R38" t="str">
        <f>IF(E38&gt;0,IF(E38="Unit",CONCATENATE(Settings!Q38," ",Settings!E38,"s"),CONCATENATE((Settings!Q38/Settings!M38)," ",Settings!E38,"s")),"")</f>
        <v/>
      </c>
    </row>
    <row r="39" spans="1:18" ht="14.25" customHeight="1">
      <c r="A39" s="47"/>
      <c r="B39" s="48"/>
      <c r="F39" s="49"/>
      <c r="H39" s="49"/>
      <c r="I39" s="49"/>
      <c r="J39" s="49"/>
      <c r="R39" t="str">
        <f>IF(E39&gt;0,IF(E39="Unit",CONCATENATE(Settings!Q39," ",Settings!E39,"s"),CONCATENATE((Settings!Q39/Settings!M39)," ",Settings!E39,"s")),"")</f>
        <v/>
      </c>
    </row>
    <row r="40" spans="1:18" ht="14.25" customHeight="1">
      <c r="A40" s="47"/>
      <c r="B40" s="48"/>
      <c r="F40" s="49"/>
      <c r="H40" s="49"/>
      <c r="I40" s="49"/>
      <c r="J40" s="49"/>
      <c r="R40" t="str">
        <f>IF(E40&gt;0,IF(E40="Unit",CONCATENATE(Settings!Q40," ",Settings!E40,"s"),CONCATENATE((Settings!Q40/Settings!M40)," ",Settings!E40,"s")),"")</f>
        <v/>
      </c>
    </row>
    <row r="41" spans="1:18" ht="14.25" customHeight="1">
      <c r="A41" s="47"/>
      <c r="B41" s="48"/>
      <c r="F41" s="49"/>
      <c r="H41" s="49"/>
      <c r="I41" s="49"/>
      <c r="J41" s="49"/>
      <c r="R41" t="str">
        <f>IF(E41&gt;0,IF(E41="Unit",CONCATENATE(Settings!Q41," ",Settings!E41,"s"),CONCATENATE((Settings!Q41/Settings!M41)," ",Settings!E41,"s")),"")</f>
        <v/>
      </c>
    </row>
    <row r="42" spans="1:18" ht="14.25" customHeight="1">
      <c r="A42" s="47"/>
      <c r="B42" s="48"/>
      <c r="F42" s="49"/>
      <c r="H42" s="49"/>
      <c r="I42" s="49"/>
      <c r="J42" s="49"/>
      <c r="R42" t="str">
        <f>IF(E42&gt;0,IF(E42="Unit",CONCATENATE(Settings!Q42," ",Settings!E42,"s"),CONCATENATE((Settings!Q42/Settings!M42)," ",Settings!E42,"s")),"")</f>
        <v/>
      </c>
    </row>
    <row r="43" spans="1:18" ht="14.25" customHeight="1">
      <c r="A43" s="47"/>
      <c r="B43" s="48"/>
      <c r="F43" s="49"/>
      <c r="H43" s="49"/>
      <c r="I43" s="49"/>
      <c r="J43" s="49"/>
      <c r="R43" t="str">
        <f>IF(E43&gt;0,IF(E43="Unit",CONCATENATE(Settings!Q43," ",Settings!E43,"s"),CONCATENATE((Settings!Q43/Settings!M43)," ",Settings!E43,"s")),"")</f>
        <v/>
      </c>
    </row>
    <row r="44" spans="1:18" ht="14.25" customHeight="1">
      <c r="A44" s="47"/>
      <c r="B44" s="48"/>
      <c r="F44" s="49"/>
      <c r="H44" s="49"/>
      <c r="I44" s="49"/>
      <c r="J44" s="49"/>
      <c r="R44" t="str">
        <f>IF(E44&gt;0,IF(E44="Unit",CONCATENATE(Settings!Q44," ",Settings!E44,"s"),CONCATENATE((Settings!Q44/Settings!M44)," ",Settings!E44,"s")),"")</f>
        <v/>
      </c>
    </row>
    <row r="45" spans="1:18" ht="14.25" customHeight="1">
      <c r="A45" s="47"/>
      <c r="B45" s="48"/>
      <c r="F45" s="49"/>
      <c r="H45" s="49"/>
      <c r="I45" s="49"/>
      <c r="J45" s="49"/>
      <c r="R45" t="str">
        <f>IF(E45&gt;0,IF(E45="Unit",CONCATENATE(Settings!Q45," ",Settings!E45,"s"),CONCATENATE((Settings!Q45/Settings!M45)," ",Settings!E45,"s")),"")</f>
        <v/>
      </c>
    </row>
    <row r="46" spans="1:18" ht="14.25" customHeight="1">
      <c r="A46" s="47"/>
      <c r="B46" s="48"/>
      <c r="F46" s="49"/>
      <c r="H46" s="49"/>
      <c r="I46" s="49"/>
      <c r="J46" s="49"/>
      <c r="R46" t="str">
        <f>IF(E46&gt;0,IF(E46="Unit",CONCATENATE(Settings!Q46," ",Settings!E46,"s"),CONCATENATE((Settings!Q46/Settings!M46)," ",Settings!E46,"s")),"")</f>
        <v/>
      </c>
    </row>
    <row r="47" spans="1:18" ht="14.25" customHeight="1">
      <c r="A47" s="47"/>
      <c r="B47" s="48"/>
      <c r="F47" s="49"/>
      <c r="H47" s="49"/>
      <c r="I47" s="49"/>
      <c r="J47" s="49"/>
      <c r="R47" t="str">
        <f>IF(E47&gt;0,IF(E47="Unit",CONCATENATE(Settings!Q47," ",Settings!E47,"s"),CONCATENATE((Settings!Q47/Settings!M47)," ",Settings!E47,"s")),"")</f>
        <v/>
      </c>
    </row>
    <row r="48" spans="1:18" ht="14.25" customHeight="1">
      <c r="A48" s="47"/>
      <c r="B48" s="48"/>
      <c r="F48" s="49"/>
      <c r="H48" s="49"/>
      <c r="I48" s="49"/>
      <c r="J48" s="49"/>
      <c r="R48" t="str">
        <f>IF(E48&gt;0,IF(E48="Unit",CONCATENATE(Settings!Q48," ",Settings!E48,"s"),CONCATENATE((Settings!Q48/Settings!M48)," ",Settings!E48,"s")),"")</f>
        <v/>
      </c>
    </row>
    <row r="49" spans="1:18" ht="14.25" customHeight="1">
      <c r="A49" s="47"/>
      <c r="B49" s="48"/>
      <c r="F49" s="49"/>
      <c r="H49" s="49"/>
      <c r="I49" s="49"/>
      <c r="J49" s="49"/>
      <c r="R49" t="str">
        <f>IF(E49&gt;0,IF(E49="Unit",CONCATENATE(Settings!Q49," ",Settings!E49,"s"),CONCATENATE((Settings!Q49/Settings!M49)," ",Settings!E49,"s")),"")</f>
        <v/>
      </c>
    </row>
    <row r="50" spans="1:18" ht="14.25" customHeight="1">
      <c r="A50" s="47"/>
      <c r="B50" s="48"/>
      <c r="F50" s="49"/>
      <c r="H50" s="49"/>
      <c r="I50" s="49"/>
      <c r="J50" s="49"/>
      <c r="R50" t="str">
        <f>IF(E50&gt;0,IF(E50="Unit",CONCATENATE(Settings!Q50," ",Settings!E50,"s"),CONCATENATE((Settings!Q50/Settings!M50)," ",Settings!E50,"s")),"")</f>
        <v/>
      </c>
    </row>
    <row r="51" spans="1:18" ht="14.25" customHeight="1">
      <c r="A51" s="47"/>
      <c r="B51" s="48"/>
      <c r="F51" s="49"/>
      <c r="H51" s="49"/>
      <c r="I51" s="49"/>
      <c r="J51" s="49"/>
      <c r="R51" t="str">
        <f>IF(E51&gt;0,IF(E51="Unit",CONCATENATE(Settings!Q51," ",Settings!E51,"s"),CONCATENATE((Settings!Q51/Settings!M51)," ",Settings!E51,"s")),"")</f>
        <v/>
      </c>
    </row>
    <row r="52" spans="1:18" ht="14.25" customHeight="1">
      <c r="A52" s="47"/>
      <c r="B52" s="48"/>
      <c r="F52" s="49"/>
      <c r="H52" s="49"/>
      <c r="I52" s="49"/>
      <c r="J52" s="49"/>
      <c r="R52" t="str">
        <f>IF(E52&gt;0,IF(E52="Unit",CONCATENATE(Settings!Q52," ",Settings!E52,"s"),CONCATENATE((Settings!Q52/Settings!M52)," ",Settings!E52,"s")),"")</f>
        <v/>
      </c>
    </row>
    <row r="53" spans="1:18" ht="14.25" customHeight="1">
      <c r="A53" s="47"/>
      <c r="B53" s="48"/>
      <c r="F53" s="49"/>
      <c r="H53" s="49"/>
      <c r="I53" s="49"/>
      <c r="J53" s="49"/>
      <c r="R53" t="str">
        <f>IF(E53&gt;0,IF(E53="Unit",CONCATENATE(Settings!Q53," ",Settings!E53,"s"),CONCATENATE((Settings!Q53/Settings!M53)," ",Settings!E53,"s")),"")</f>
        <v/>
      </c>
    </row>
    <row r="54" spans="1:18" ht="14.25" customHeight="1">
      <c r="A54" s="51"/>
      <c r="B54" s="52"/>
      <c r="F54" s="49"/>
      <c r="H54" s="49"/>
      <c r="I54" s="49"/>
      <c r="J54" s="49"/>
      <c r="R54" t="str">
        <f>IF(E54&gt;0,IF(E54="Unit",CONCATENATE(Settings!Q54," ",Settings!E54,"s"),CONCATENATE((Settings!Q54/Settings!M54)," ",Settings!E54,"s")),"")</f>
        <v/>
      </c>
    </row>
  </sheetData>
  <mergeCells count="1">
    <mergeCell ref="C2:C6"/>
  </mergeCells>
  <pageMargins left="0.7" right="0.7" top="0.75" bottom="0.75" header="0.511811023622047" footer="0.3"/>
  <pageSetup paperSize="9" orientation="portrait" horizontalDpi="300" verticalDpi="300"/>
  <headerFooter>
    <oddFooter>&amp;R&amp;22 &amp;Kff8939_x005F_x000d_# RESTRICTED</oddFooter>
  </headerFooter>
  <drawing r:id="rId1"/>
  <tableParts count="2"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Quotation</vt:lpstr>
      <vt:lpstr>Settings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Lemaire Wouter</dc:creator>
  <dc:description/>
  <cp:lastModifiedBy>Vasudevan Mariyappan</cp:lastModifiedBy>
  <cp:revision>0</cp:revision>
  <dcterms:created xsi:type="dcterms:W3CDTF">2021-05-14T05:44:12Z</dcterms:created>
  <dcterms:modified xsi:type="dcterms:W3CDTF">2026-07-24T10:56:16Z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mplianceAssetId">
    <vt:lpwstr/>
  </property>
  <property fmtid="{D5CDD505-2E9C-101B-9397-08002B2CF9AE}" pid="3" name="ContentTypeId">
    <vt:lpwstr>0x01010075F372E8CCA016418A193AD921508903</vt:lpwstr>
  </property>
  <property fmtid="{D5CDD505-2E9C-101B-9397-08002B2CF9AE}" pid="4" name="MSIP_Label_2c76c141-ac86-40e5-abf2-c6f60e474cee_ActionId">
    <vt:lpwstr>88ecdeda-a8e8-499c-ab36-7f15318fb843</vt:lpwstr>
  </property>
  <property fmtid="{D5CDD505-2E9C-101B-9397-08002B2CF9AE}" pid="5" name="MSIP_Label_2c76c141-ac86-40e5-abf2-c6f60e474cee_ContentBits">
    <vt:lpwstr>2</vt:lpwstr>
  </property>
  <property fmtid="{D5CDD505-2E9C-101B-9397-08002B2CF9AE}" pid="6" name="MSIP_Label_2c76c141-ac86-40e5-abf2-c6f60e474cee_Enabled">
    <vt:lpwstr>true</vt:lpwstr>
  </property>
  <property fmtid="{D5CDD505-2E9C-101B-9397-08002B2CF9AE}" pid="7" name="MSIP_Label_2c76c141-ac86-40e5-abf2-c6f60e474cee_Method">
    <vt:lpwstr>Standard</vt:lpwstr>
  </property>
  <property fmtid="{D5CDD505-2E9C-101B-9397-08002B2CF9AE}" pid="8" name="MSIP_Label_2c76c141-ac86-40e5-abf2-c6f60e474cee_Name">
    <vt:lpwstr>2c76c141-ac86-40e5-abf2-c6f60e474cee</vt:lpwstr>
  </property>
  <property fmtid="{D5CDD505-2E9C-101B-9397-08002B2CF9AE}" pid="9" name="MSIP_Label_2c76c141-ac86-40e5-abf2-c6f60e474cee_SetDate">
    <vt:lpwstr>2023-09-28T08:40:02Z</vt:lpwstr>
  </property>
  <property fmtid="{D5CDD505-2E9C-101B-9397-08002B2CF9AE}" pid="10" name="MSIP_Label_2c76c141-ac86-40e5-abf2-c6f60e474cee_SiteId">
    <vt:lpwstr>fcb2b37b-5da0-466b-9b83-0014b67a7c78</vt:lpwstr>
  </property>
  <property fmtid="{D5CDD505-2E9C-101B-9397-08002B2CF9AE}" pid="11" name="Order">
    <vt:r8>14163000</vt:r8>
  </property>
  <property fmtid="{D5CDD505-2E9C-101B-9397-08002B2CF9AE}" pid="12" name="_ExtendedDescription">
    <vt:lpwstr/>
  </property>
</Properties>
</file>