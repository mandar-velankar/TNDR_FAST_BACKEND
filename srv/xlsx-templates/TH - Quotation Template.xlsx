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cuments\WordQuotationDocuments\TH\"/>
    </mc:Choice>
  </mc:AlternateContent>
  <xr:revisionPtr revIDLastSave="0" documentId="8_{4CE1E7B0-2788-42EB-ADF7-DEE2724BEF50}" xr6:coauthVersionLast="47" xr6:coauthVersionMax="47" xr10:uidLastSave="{00000000-0000-0000-0000-000000000000}"/>
  <bookViews>
    <workbookView xWindow="-120" yWindow="-120" windowWidth="18735" windowHeight="924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<sst xmlns="http://schemas.openxmlformats.org/spreadsheetml/2006/main" count="186" uniqueCount="143">
  <si>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</si>
  <si>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</si>
  <si>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</si>
  <si>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</si>
  <si>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</si>
  <si>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</si>
  <si>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</si>
  <si>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</si>
  <si>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</si>
  <si>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</si>
  <si>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</si>
  <si>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</si>
  <si>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</si>
  <si>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</si>
  <si>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</si>
  <si>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</si>
  <si>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</si>
  <si>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</si>
  <si>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</si>
  <si>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</si>
  <si>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</si>
  <si>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</si>
  <si>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</si>
  <si>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</si>
  <si>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</si>
  <si>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</si>
  <si>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</si>
  <si>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</si>
  <si>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</si>
  <si>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</si>
  <si>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</si>
  <si>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</si>
  <si>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</si>
  <si>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</si>
  <si>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</si>
  <si>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</si>
  <si>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</si>
  <si>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</si>
  <si>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</si>
  <si>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</si>
  <si>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</si>
  <si>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</si>
  <si>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</si>
  <si>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</si>
  <si>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</si>
  <si>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</si>
  <si>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</si>
  <si>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</si>
  <si>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</si>
  <si>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</si>
  <si>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</si>
  <si>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</si>
  <si>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</si>
  <si>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</si>
  <si>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</si>
  <si>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</si>
  <si>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</si>
  <si>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</si>
  <si>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</si>
  <si>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</si>
  <si>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</si>
  <si>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</si>
  <si>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</si>
  <si>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</si>
  <si>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</si>
  <si>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</si>
  <si>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</si>
  <si>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</si>
  <si>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</si>
  <si>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</si>
  <si>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</si>
  <si>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</si>
  <si>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</si>
  <si>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</si>
  <si>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</si>
  <si>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</si>
  <si>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</si>
  <si>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</si>
  <si>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</si>
  <si>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</si>
  <si>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</si>
  <si>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</si>
  <si>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</si>
  <si>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</si>
  <si>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</si>
  <si>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</si>
  <si>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</si>
  <si>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</si>
  <si>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</si>
  <si>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</si>
  <si>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</si>
  <si>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</si>
  <si>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</si>
  <si>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</si>
  <si>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</si>
  <si>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</si>
  <si>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</si>
  <si>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</si>
  <si>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</si>
  <si>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</si>
  <si>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</si>
  <si>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</si>
  <si>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</si>
  <si>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</si>
  <si>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</si>
  <si>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</si>
  <si>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</si>
  <si>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</si>
  <si>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</si>
  <si>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</si>
  <si>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</si>
  <si>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</si>
  <si>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</si>
  <si>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</si>
  <si>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</si>
  <si>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</si>
  <si>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</si>
  <si>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</si>
  <si>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</si>
  <si>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</si>
  <si>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</si>
  <si>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</si>
  <si>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</si>
  <si>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</si>
  <si>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</si>
  <si>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</si>
  <si>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</si>
  <si>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</si>
  <si>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</si>
  <si>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</si>
  <si>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</si>
  <si>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</si>
  <si>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</si>
  <si>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</si>
  <si>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</si>
  <si>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</si>
  <si>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${offerValidation.TenderAnnouncementReference}</t>
  </si>
  <si>
    <t>${offerValidation.ItemNumber}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</si>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</sst>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Border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6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E28" zoomScale="90" zoomScaleNormal="90" workbookViewId="0">
      <selection activeCell="J38" sqref="J38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7" customWidth="1"/>
    <col min="8" max="8" width="24.57031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0</v>
      </c>
      <c r="C3" s="53" t="s">
        <v>1</v>
      </c>
      <c r="D3" s="54"/>
      <c r="E3" s="54"/>
      <c r="F3" s="54"/>
      <c r="G3" s="55"/>
      <c r="H3" s="10"/>
      <c r="I3" s="26" t="s">
        <v>2</v>
      </c>
      <c r="J3" s="53" t="s">
        <v>3</v>
      </c>
      <c r="K3" s="54"/>
      <c r="L3" s="54"/>
      <c r="M3" s="55"/>
      <c r="N3" s="10"/>
    </row>
    <row r="4" spans="2:14" ht="15" customHeight="1" x14ac:dyDescent="0.25">
      <c r="B4" s="27" t="s">
        <v>4</v>
      </c>
      <c r="C4" s="72" t="s">
        <v>5</v>
      </c>
      <c r="D4" s="73"/>
      <c r="E4" s="73"/>
      <c r="F4" s="73"/>
      <c r="G4" s="74"/>
      <c r="H4" s="10"/>
      <c r="I4" s="26" t="s">
        <v>4</v>
      </c>
      <c r="J4" s="80" t="s">
        <v>6</v>
      </c>
      <c r="K4" s="81"/>
      <c r="L4" s="81"/>
      <c r="M4" s="82"/>
      <c r="N4" s="10"/>
    </row>
    <row r="5" spans="2:14" ht="15" customHeight="1" x14ac:dyDescent="0.25">
      <c r="B5" s="46"/>
      <c r="C5" s="46"/>
      <c r="D5" s="46"/>
      <c r="E5" s="46"/>
      <c r="F5" s="46"/>
      <c r="G5" s="46"/>
      <c r="H5" s="10"/>
      <c r="I5" s="10"/>
      <c r="J5" s="47"/>
      <c r="K5" s="47"/>
      <c r="L5" s="47"/>
      <c r="M5" s="47"/>
      <c r="N5" s="10"/>
    </row>
    <row r="6" spans="2:14" ht="15" customHeight="1" x14ac:dyDescent="0.25">
      <c r="B6" s="46"/>
      <c r="C6" s="46"/>
      <c r="D6" s="46"/>
      <c r="E6" s="46"/>
      <c r="F6" s="46"/>
      <c r="G6" s="46"/>
      <c r="H6" s="10"/>
      <c r="I6" s="10"/>
      <c r="J6" s="47"/>
      <c r="K6" s="47"/>
      <c r="L6" s="47"/>
      <c r="M6" s="47"/>
      <c r="N6" s="10"/>
    </row>
    <row r="7" spans="2:14" x14ac:dyDescent="0.2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25">
      <c r="B8" s="75" t="s">
        <v>141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7"/>
    </row>
    <row r="9" spans="2:14" x14ac:dyDescent="0.25">
      <c r="B9" s="83" t="s">
        <v>7</v>
      </c>
      <c r="C9" s="84"/>
      <c r="D9" s="94" t="s">
        <v>8</v>
      </c>
      <c r="E9" s="94"/>
      <c r="F9" s="40"/>
      <c r="G9" s="42" t="s">
        <v>9</v>
      </c>
      <c r="H9" s="42"/>
      <c r="I9" s="90" t="s">
        <v>10</v>
      </c>
      <c r="J9" s="90"/>
      <c r="K9" s="91"/>
      <c r="L9" s="78" t="s">
        <v>11</v>
      </c>
      <c r="M9" s="79"/>
      <c r="N9" s="43"/>
    </row>
    <row r="10" spans="2:14" ht="26.25" customHeight="1" x14ac:dyDescent="0.25">
      <c r="B10" s="85" t="s">
        <v>12</v>
      </c>
      <c r="C10" s="86"/>
      <c r="D10" s="95" t="str">
        <f>Settings!A14</f>
        <v>${offerValidation.CUSTOMER_CODE}</v>
      </c>
      <c r="E10" s="95"/>
      <c r="F10" s="40"/>
      <c r="G10" s="96" t="s">
        <v>13</v>
      </c>
      <c r="H10" s="96"/>
      <c r="I10" s="92" t="s">
        <v>14</v>
      </c>
      <c r="J10" s="92"/>
      <c r="K10" s="93"/>
      <c r="L10" s="48" t="s">
        <v>15</v>
      </c>
      <c r="M10" s="49"/>
      <c r="N10" s="38"/>
    </row>
    <row r="11" spans="2:14" ht="26.25" customHeight="1" x14ac:dyDescent="0.25">
      <c r="B11" s="85" t="s">
        <v>16</v>
      </c>
      <c r="C11" s="86"/>
      <c r="D11" s="72" t="str">
        <f>Settings!A9</f>
        <v>${offerValidation.INSTITUTENAME}</v>
      </c>
      <c r="E11" s="74"/>
      <c r="F11" s="40"/>
      <c r="G11" s="97" t="s">
        <v>17</v>
      </c>
      <c r="H11" s="97"/>
      <c r="I11" s="92" t="s">
        <v>18</v>
      </c>
      <c r="J11" s="92"/>
      <c r="K11" s="93"/>
      <c r="L11" s="48" t="s">
        <v>19</v>
      </c>
      <c r="M11" s="49"/>
      <c r="N11" s="38"/>
    </row>
    <row r="12" spans="2:14" x14ac:dyDescent="0.25">
      <c r="B12" s="85" t="s">
        <v>20</v>
      </c>
      <c r="C12" s="86"/>
      <c r="D12" s="56" t="s">
        <v>21</v>
      </c>
      <c r="E12" s="58"/>
      <c r="F12" s="10"/>
      <c r="G12" s="69" t="s">
        <v>22</v>
      </c>
      <c r="H12" s="69"/>
      <c r="I12" s="70" t="s">
        <v>23</v>
      </c>
      <c r="J12" s="70"/>
      <c r="K12" s="71"/>
      <c r="L12" s="48" t="s">
        <v>15</v>
      </c>
      <c r="M12" s="49"/>
      <c r="N12" s="38"/>
    </row>
    <row r="13" spans="2:14" x14ac:dyDescent="0.25">
      <c r="B13" s="85" t="s">
        <v>24</v>
      </c>
      <c r="C13" s="86"/>
      <c r="D13" s="56" t="s">
        <v>25</v>
      </c>
      <c r="E13" s="58"/>
      <c r="F13" s="10"/>
      <c r="G13" s="69" t="s">
        <v>130</v>
      </c>
      <c r="H13" s="69"/>
      <c r="I13" s="70" t="s">
        <v>142</v>
      </c>
      <c r="J13" s="70"/>
      <c r="K13" s="71"/>
    </row>
    <row r="14" spans="2:14" x14ac:dyDescent="0.2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25">
      <c r="B15" s="88" t="s">
        <v>26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</row>
    <row r="16" spans="2:14" x14ac:dyDescent="0.25">
      <c r="B16" s="87" t="s">
        <v>27</v>
      </c>
      <c r="C16" s="68" t="s">
        <v>28</v>
      </c>
      <c r="D16" s="68" t="s">
        <v>29</v>
      </c>
      <c r="E16" s="68" t="s">
        <v>30</v>
      </c>
      <c r="F16" s="68" t="s">
        <v>31</v>
      </c>
      <c r="G16" s="68" t="s">
        <v>32</v>
      </c>
      <c r="H16" s="50" t="s">
        <v>33</v>
      </c>
      <c r="I16" s="68" t="s">
        <v>34</v>
      </c>
      <c r="J16" s="68" t="s">
        <v>35</v>
      </c>
      <c r="K16" s="68"/>
      <c r="L16" s="68"/>
      <c r="M16" s="68" t="s">
        <v>36</v>
      </c>
      <c r="N16" s="68"/>
    </row>
    <row r="17" spans="2:15" x14ac:dyDescent="0.25">
      <c r="B17" s="87"/>
      <c r="C17" s="68"/>
      <c r="D17" s="68"/>
      <c r="E17" s="68"/>
      <c r="F17" s="68"/>
      <c r="G17" s="68"/>
      <c r="H17" s="51"/>
      <c r="I17" s="68"/>
      <c r="J17" s="68"/>
      <c r="K17" s="68"/>
      <c r="L17" s="68"/>
      <c r="M17" s="68"/>
      <c r="N17" s="68"/>
    </row>
    <row r="18" spans="2:15" ht="25.5" customHeight="1" x14ac:dyDescent="0.25">
      <c r="B18" s="87"/>
      <c r="C18" s="68"/>
      <c r="D18" s="68"/>
      <c r="E18" s="68"/>
      <c r="F18" s="68"/>
      <c r="G18" s="68"/>
      <c r="H18" s="52"/>
      <c r="I18" s="68"/>
      <c r="J18" s="11" t="s">
        <v>37</v>
      </c>
      <c r="K18" s="89" t="s">
        <v>38</v>
      </c>
      <c r="L18" s="89"/>
      <c r="M18" s="11" t="s">
        <v>37</v>
      </c>
      <c r="N18" s="11" t="s">
        <v>38</v>
      </c>
    </row>
    <row r="19" spans="2:15" ht="30" x14ac:dyDescent="0.25">
      <c r="B19" s="25" t="s">
        <v>39</v>
      </c>
      <c r="C19" s="25" t="s">
        <v>129</v>
      </c>
      <c r="D19" s="39" t="s">
        <v>41</v>
      </c>
      <c r="E19" s="39" t="s">
        <v>42</v>
      </c>
      <c r="F19" s="37" t="s">
        <v>43</v>
      </c>
      <c r="G19" s="37" t="s">
        <v>44</v>
      </c>
      <c r="H19" s="37" t="s">
        <v>45</v>
      </c>
      <c r="I19" s="37" t="s">
        <v>46</v>
      </c>
      <c r="J19" s="37" t="s">
        <v>47</v>
      </c>
      <c r="K19" s="59" t="s">
        <v>48</v>
      </c>
      <c r="L19" s="59"/>
      <c r="M19" s="41" t="s">
        <v>49</v>
      </c>
      <c r="N19" s="41" t="s">
        <v>50</v>
      </c>
      <c r="O19" s="31"/>
    </row>
    <row r="20" spans="2:15" x14ac:dyDescent="0.25">
      <c r="B20" s="12"/>
      <c r="C20" s="12"/>
      <c r="D20" s="12"/>
      <c r="E20" s="30"/>
      <c r="F20" s="12"/>
      <c r="G20" s="25"/>
      <c r="H20" s="13"/>
      <c r="I20" s="12"/>
      <c r="J20" s="15"/>
      <c r="K20" s="60"/>
      <c r="L20" s="60"/>
      <c r="M20" s="14"/>
      <c r="N20" s="36"/>
    </row>
    <row r="21" spans="2:15" x14ac:dyDescent="0.25">
      <c r="B21" s="12"/>
      <c r="C21" s="12"/>
      <c r="D21" s="12"/>
      <c r="E21" s="30"/>
      <c r="F21" s="12"/>
      <c r="G21" s="25"/>
      <c r="H21" s="13"/>
      <c r="I21" s="12"/>
      <c r="J21" s="15"/>
      <c r="K21" s="67" t="s">
        <v>51</v>
      </c>
      <c r="L21" s="67"/>
      <c r="M21" s="37" t="s">
        <v>52</v>
      </c>
      <c r="N21" s="37" t="s">
        <v>53</v>
      </c>
    </row>
    <row r="22" spans="2:15" x14ac:dyDescent="0.2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25">
      <c r="B23" s="99" t="s">
        <v>54</v>
      </c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10"/>
    </row>
    <row r="24" spans="2:15" x14ac:dyDescent="0.25">
      <c r="B24" s="87" t="s">
        <v>27</v>
      </c>
      <c r="C24" s="68" t="s">
        <v>28</v>
      </c>
      <c r="D24" s="68" t="s">
        <v>55</v>
      </c>
      <c r="E24" s="68" t="s">
        <v>56</v>
      </c>
      <c r="F24" s="68" t="s">
        <v>57</v>
      </c>
      <c r="G24" s="68" t="s">
        <v>58</v>
      </c>
      <c r="H24" s="68"/>
      <c r="I24" s="68"/>
      <c r="J24" s="68" t="s">
        <v>59</v>
      </c>
      <c r="K24" s="68"/>
      <c r="L24" s="68" t="s">
        <v>60</v>
      </c>
      <c r="M24" s="10"/>
    </row>
    <row r="25" spans="2:15" x14ac:dyDescent="0.25">
      <c r="B25" s="87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10"/>
    </row>
    <row r="26" spans="2:15" ht="15" customHeight="1" x14ac:dyDescent="0.25">
      <c r="B26" s="12" t="s">
        <v>39</v>
      </c>
      <c r="C26" s="37" t="s">
        <v>129</v>
      </c>
      <c r="D26" s="44"/>
      <c r="E26" s="38" t="s">
        <v>61</v>
      </c>
      <c r="F26" s="16" t="s">
        <v>62</v>
      </c>
      <c r="G26" s="64" t="s">
        <v>63</v>
      </c>
      <c r="H26" s="64"/>
      <c r="I26" s="64"/>
      <c r="J26" s="64" t="s">
        <v>64</v>
      </c>
      <c r="K26" s="64"/>
      <c r="L26" s="16" t="s">
        <v>65</v>
      </c>
      <c r="M26" s="10"/>
    </row>
    <row r="27" spans="2:15" x14ac:dyDescent="0.25">
      <c r="B27" s="16"/>
      <c r="C27" s="16"/>
      <c r="D27" s="16"/>
      <c r="E27" s="16"/>
      <c r="F27" s="16"/>
      <c r="G27" s="61"/>
      <c r="H27" s="62"/>
      <c r="I27" s="63"/>
      <c r="J27" s="64"/>
      <c r="K27" s="64"/>
      <c r="L27" s="16"/>
      <c r="M27" s="10"/>
    </row>
    <row r="28" spans="2:15" x14ac:dyDescent="0.25">
      <c r="B28" s="16"/>
      <c r="C28" s="16"/>
      <c r="D28" s="16"/>
      <c r="E28" s="16"/>
      <c r="F28" s="16"/>
      <c r="G28" s="100"/>
      <c r="H28" s="100"/>
      <c r="I28" s="100"/>
      <c r="J28" s="64"/>
      <c r="K28" s="64"/>
      <c r="L28" s="16"/>
      <c r="M28" s="10"/>
    </row>
    <row r="29" spans="2:15" x14ac:dyDescent="0.2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25">
      <c r="B30" s="98" t="s">
        <v>66</v>
      </c>
      <c r="C30" s="98"/>
      <c r="D30" s="98"/>
      <c r="E30" s="98"/>
      <c r="F30" s="18"/>
      <c r="G30" s="65" t="s">
        <v>67</v>
      </c>
      <c r="H30" s="66"/>
      <c r="I30" s="27" t="s">
        <v>68</v>
      </c>
      <c r="J30" s="27"/>
      <c r="K30" s="27"/>
      <c r="L30" s="27"/>
      <c r="M30" s="10"/>
      <c r="N30" s="10"/>
    </row>
    <row r="31" spans="2:15" x14ac:dyDescent="0.25">
      <c r="B31" s="19" t="s">
        <v>69</v>
      </c>
      <c r="C31" s="20"/>
      <c r="D31" s="103"/>
      <c r="E31" s="103"/>
      <c r="F31" s="10"/>
      <c r="G31" s="104" t="s">
        <v>70</v>
      </c>
      <c r="H31" s="105"/>
      <c r="I31" s="56"/>
      <c r="J31" s="57"/>
      <c r="K31" s="57"/>
      <c r="L31" s="58"/>
      <c r="M31" s="10"/>
      <c r="N31" s="10"/>
    </row>
    <row r="32" spans="2:15" x14ac:dyDescent="0.25">
      <c r="B32" s="19" t="s">
        <v>71</v>
      </c>
      <c r="C32" s="20"/>
      <c r="D32" s="64"/>
      <c r="E32" s="64"/>
      <c r="F32" s="10"/>
      <c r="G32" s="104" t="s">
        <v>72</v>
      </c>
      <c r="H32" s="105"/>
      <c r="I32" s="56"/>
      <c r="J32" s="57"/>
      <c r="K32" s="57"/>
      <c r="L32" s="58"/>
      <c r="M32" s="10"/>
      <c r="N32" s="10"/>
    </row>
    <row r="33" spans="2:14" x14ac:dyDescent="0.25">
      <c r="B33" s="19" t="s">
        <v>73</v>
      </c>
      <c r="C33" s="20"/>
      <c r="D33" s="16"/>
      <c r="E33" s="21" t="s">
        <v>74</v>
      </c>
      <c r="F33" s="10"/>
      <c r="G33" s="104" t="s">
        <v>75</v>
      </c>
      <c r="H33" s="105"/>
      <c r="I33" s="56"/>
      <c r="J33" s="57"/>
      <c r="K33" s="57"/>
      <c r="L33" s="58"/>
      <c r="M33" s="10"/>
      <c r="N33" s="10"/>
    </row>
    <row r="34" spans="2:14" x14ac:dyDescent="0.25">
      <c r="B34" s="22" t="s">
        <v>76</v>
      </c>
      <c r="C34" s="23"/>
      <c r="D34" s="16"/>
      <c r="E34" s="21" t="s">
        <v>74</v>
      </c>
      <c r="F34" s="10"/>
      <c r="G34" s="101" t="s">
        <v>77</v>
      </c>
      <c r="H34" s="102"/>
      <c r="I34" s="53"/>
      <c r="J34" s="54"/>
      <c r="K34" s="54"/>
      <c r="L34" s="55"/>
    </row>
    <row r="35" spans="2:14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5.5" x14ac:dyDescent="0.25">
      <c r="B36" s="109" t="s">
        <v>78</v>
      </c>
      <c r="C36" s="110"/>
      <c r="D36" s="110"/>
      <c r="E36" s="111"/>
      <c r="F36" s="29"/>
      <c r="G36" s="121" t="s">
        <v>131</v>
      </c>
      <c r="H36" s="122" t="s">
        <v>136</v>
      </c>
      <c r="I36" s="29"/>
      <c r="J36" s="29"/>
    </row>
    <row r="37" spans="2:14" ht="15" customHeight="1" x14ac:dyDescent="0.25">
      <c r="B37" s="112" t="s">
        <v>79</v>
      </c>
      <c r="C37" s="113"/>
      <c r="D37" s="113"/>
      <c r="E37" s="114"/>
      <c r="F37" s="29"/>
      <c r="G37" s="121" t="s">
        <v>132</v>
      </c>
      <c r="H37" s="122" t="s">
        <v>137</v>
      </c>
      <c r="I37" s="29"/>
      <c r="J37" s="29"/>
    </row>
    <row r="38" spans="2:14" ht="25.5" x14ac:dyDescent="0.25">
      <c r="B38" s="115"/>
      <c r="C38" s="116"/>
      <c r="D38" s="116"/>
      <c r="E38" s="117"/>
      <c r="F38" s="29"/>
      <c r="G38" s="121" t="s">
        <v>133</v>
      </c>
      <c r="H38" s="122" t="s">
        <v>138</v>
      </c>
      <c r="I38" s="29"/>
      <c r="J38" s="29"/>
    </row>
    <row r="39" spans="2:14" ht="25.5" x14ac:dyDescent="0.25">
      <c r="B39" s="115"/>
      <c r="C39" s="116"/>
      <c r="D39" s="116"/>
      <c r="E39" s="117"/>
      <c r="F39" s="29"/>
      <c r="G39" s="121" t="s">
        <v>134</v>
      </c>
      <c r="H39" s="122" t="s">
        <v>139</v>
      </c>
      <c r="I39" s="29"/>
      <c r="J39" s="29"/>
    </row>
    <row r="40" spans="2:14" ht="25.5" x14ac:dyDescent="0.25">
      <c r="B40" s="115"/>
      <c r="C40" s="116"/>
      <c r="D40" s="116"/>
      <c r="E40" s="117"/>
      <c r="F40" s="29"/>
      <c r="G40" s="121" t="s">
        <v>135</v>
      </c>
      <c r="H40" s="122" t="s">
        <v>140</v>
      </c>
      <c r="I40" s="29"/>
      <c r="J40" s="29"/>
    </row>
    <row r="41" spans="2:14" x14ac:dyDescent="0.25">
      <c r="B41" s="118"/>
      <c r="C41" s="119"/>
      <c r="D41" s="119"/>
      <c r="E41" s="120"/>
      <c r="F41" s="29"/>
      <c r="G41" s="29"/>
      <c r="H41" s="29"/>
      <c r="I41" s="29"/>
      <c r="J41" s="29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</row>
    <row r="44" spans="2:14" x14ac:dyDescent="0.25">
      <c r="B44" s="29"/>
      <c r="C44" s="29"/>
      <c r="D44" s="29"/>
      <c r="E44" s="29"/>
      <c r="H44" s="10"/>
      <c r="I44" s="10"/>
      <c r="J44" s="10"/>
      <c r="K44" s="10"/>
    </row>
    <row r="45" spans="2:14" x14ac:dyDescent="0.25">
      <c r="B45" s="29"/>
      <c r="C45" s="29"/>
      <c r="D45" s="29"/>
      <c r="E45" s="29"/>
      <c r="H45" s="10"/>
      <c r="I45" s="10"/>
      <c r="J45" s="10"/>
      <c r="K45" s="10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24"/>
      <c r="I47" s="24"/>
      <c r="J47" s="24"/>
    </row>
    <row r="48" spans="2:14" x14ac:dyDescent="0.25">
      <c r="B48" s="29"/>
      <c r="C48" s="29"/>
      <c r="D48" s="29"/>
      <c r="E48" s="29"/>
      <c r="H48" s="24"/>
      <c r="I48" s="24"/>
      <c r="J48" s="24"/>
    </row>
    <row r="49" spans="2:10" x14ac:dyDescent="0.25">
      <c r="B49" s="29"/>
      <c r="C49" s="29"/>
      <c r="D49" s="29"/>
      <c r="E49" s="29"/>
      <c r="H49" s="17"/>
      <c r="I49" s="10"/>
      <c r="J49" s="10"/>
    </row>
    <row r="50" spans="2:10" x14ac:dyDescent="0.25">
      <c r="B50" s="29"/>
      <c r="C50" s="29"/>
      <c r="D50" s="29"/>
      <c r="E50" s="29"/>
      <c r="F50" s="29"/>
      <c r="G50" s="29"/>
    </row>
    <row r="51" spans="2:10" x14ac:dyDescent="0.25">
      <c r="B51" s="29"/>
      <c r="C51" s="29"/>
      <c r="D51" s="29"/>
      <c r="E51" s="29"/>
      <c r="F51" s="29"/>
      <c r="G51" s="29"/>
    </row>
    <row r="53" spans="2:10" x14ac:dyDescent="0.25">
      <c r="J53" s="45"/>
    </row>
  </sheetData>
  <mergeCells count="71">
    <mergeCell ref="B37:E41"/>
    <mergeCell ref="I33:L33"/>
    <mergeCell ref="G16:G18"/>
    <mergeCell ref="I16:I18"/>
    <mergeCell ref="J16:L17"/>
    <mergeCell ref="G34:H34"/>
    <mergeCell ref="D31:E31"/>
    <mergeCell ref="D32:E32"/>
    <mergeCell ref="G33:H33"/>
    <mergeCell ref="G31:H31"/>
    <mergeCell ref="G32:H32"/>
    <mergeCell ref="C24:C25"/>
    <mergeCell ref="D24:D25"/>
    <mergeCell ref="E24:E25"/>
    <mergeCell ref="I31:L31"/>
    <mergeCell ref="B30:E30"/>
    <mergeCell ref="F24:F25"/>
    <mergeCell ref="D16:D18"/>
    <mergeCell ref="B23:L23"/>
    <mergeCell ref="B24:B25"/>
    <mergeCell ref="J24:K25"/>
    <mergeCell ref="G28:I28"/>
    <mergeCell ref="J28:K28"/>
    <mergeCell ref="G26:I26"/>
    <mergeCell ref="J26:K26"/>
    <mergeCell ref="I9:K9"/>
    <mergeCell ref="I10:K10"/>
    <mergeCell ref="I11:K11"/>
    <mergeCell ref="D9:E9"/>
    <mergeCell ref="D10:E10"/>
    <mergeCell ref="D11:E11"/>
    <mergeCell ref="G10:H10"/>
    <mergeCell ref="G11:H11"/>
    <mergeCell ref="D12:E12"/>
    <mergeCell ref="D13:E13"/>
    <mergeCell ref="C16:C18"/>
    <mergeCell ref="B15:N15"/>
    <mergeCell ref="L12:M12"/>
    <mergeCell ref="K18:L18"/>
    <mergeCell ref="G12:H12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B11:C11"/>
    <mergeCell ref="B13:C13"/>
    <mergeCell ref="M16:N17"/>
    <mergeCell ref="I12:K12"/>
    <mergeCell ref="L10:M10"/>
    <mergeCell ref="L11:M11"/>
    <mergeCell ref="H16:H18"/>
    <mergeCell ref="I34:L34"/>
    <mergeCell ref="I32:L32"/>
    <mergeCell ref="K19:L19"/>
    <mergeCell ref="K20:L20"/>
    <mergeCell ref="G27:I27"/>
    <mergeCell ref="J27:K27"/>
    <mergeCell ref="G30:H30"/>
    <mergeCell ref="K21:L21"/>
    <mergeCell ref="L24:L25"/>
    <mergeCell ref="G24:I25"/>
    <mergeCell ref="G13:H13"/>
    <mergeCell ref="I13:K13"/>
  </mergeCells>
  <dataValidations count="2">
    <dataValidation type="list" allowBlank="1" showInputMessage="1" showErrorMessage="1" sqref="D27:D28 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80</v>
      </c>
      <c r="B1" s="1" t="s">
        <v>81</v>
      </c>
      <c r="C1" s="33"/>
    </row>
    <row r="2" spans="1:3" x14ac:dyDescent="0.25">
      <c r="A2" t="s">
        <v>82</v>
      </c>
      <c r="B2" t="s">
        <v>83</v>
      </c>
      <c r="C2" s="106"/>
    </row>
    <row r="3" spans="1:3" x14ac:dyDescent="0.25">
      <c r="A3" t="s">
        <v>84</v>
      </c>
      <c r="B3" t="s">
        <v>85</v>
      </c>
      <c r="C3" s="107"/>
    </row>
    <row r="4" spans="1:3" x14ac:dyDescent="0.25">
      <c r="A4" t="s">
        <v>14</v>
      </c>
      <c r="B4" t="s">
        <v>86</v>
      </c>
      <c r="C4" s="107"/>
    </row>
    <row r="5" spans="1:3" x14ac:dyDescent="0.25">
      <c r="A5" t="s">
        <v>18</v>
      </c>
      <c r="B5" t="s">
        <v>17</v>
      </c>
      <c r="C5" s="107"/>
    </row>
    <row r="6" spans="1:3" x14ac:dyDescent="0.25">
      <c r="A6" t="s">
        <v>21</v>
      </c>
      <c r="B6" t="s">
        <v>20</v>
      </c>
      <c r="C6" s="108"/>
    </row>
    <row r="7" spans="1:3" x14ac:dyDescent="0.25">
      <c r="A7" t="s">
        <v>23</v>
      </c>
      <c r="B7" t="s">
        <v>22</v>
      </c>
    </row>
    <row r="8" spans="1:3" x14ac:dyDescent="0.25">
      <c r="A8" t="s">
        <v>25</v>
      </c>
      <c r="B8" t="s">
        <v>24</v>
      </c>
    </row>
    <row r="9" spans="1:3" x14ac:dyDescent="0.25">
      <c r="A9" t="s">
        <v>87</v>
      </c>
      <c r="B9" t="s">
        <v>88</v>
      </c>
    </row>
    <row r="10" spans="1:3" x14ac:dyDescent="0.25">
      <c r="A10" t="s">
        <v>89</v>
      </c>
      <c r="B10" t="s">
        <v>90</v>
      </c>
    </row>
    <row r="11" spans="1:3" x14ac:dyDescent="0.25">
      <c r="A11" t="s">
        <v>3</v>
      </c>
      <c r="B11" t="s">
        <v>2</v>
      </c>
    </row>
    <row r="12" spans="1:3" x14ac:dyDescent="0.25">
      <c r="A12" t="s">
        <v>1</v>
      </c>
      <c r="B12" t="s">
        <v>0</v>
      </c>
    </row>
    <row r="13" spans="1:3" x14ac:dyDescent="0.25">
      <c r="A13" t="s">
        <v>5</v>
      </c>
      <c r="B13" t="s">
        <v>4</v>
      </c>
    </row>
    <row r="14" spans="1:3" x14ac:dyDescent="0.25">
      <c r="A14" t="s">
        <v>91</v>
      </c>
      <c r="B14" t="s">
        <v>12</v>
      </c>
    </row>
    <row r="15" spans="1:3" x14ac:dyDescent="0.25">
      <c r="A15" t="s">
        <v>92</v>
      </c>
      <c r="B15" t="s">
        <v>93</v>
      </c>
    </row>
    <row r="17" spans="1:27" x14ac:dyDescent="0.25">
      <c r="B17" s="32"/>
      <c r="C17" s="28"/>
    </row>
    <row r="18" spans="1:27" x14ac:dyDescent="0.25">
      <c r="A18" s="1" t="s">
        <v>94</v>
      </c>
    </row>
    <row r="19" spans="1:27" x14ac:dyDescent="0.25">
      <c r="A19" s="7" t="s">
        <v>95</v>
      </c>
      <c r="B19" s="8" t="s">
        <v>96</v>
      </c>
      <c r="C19" s="34" t="s">
        <v>97</v>
      </c>
      <c r="D19" s="2" t="s">
        <v>98</v>
      </c>
      <c r="E19" s="2" t="s">
        <v>99</v>
      </c>
      <c r="F19" s="2" t="s">
        <v>100</v>
      </c>
      <c r="G19" s="2" t="s">
        <v>101</v>
      </c>
      <c r="H19" s="2" t="s">
        <v>102</v>
      </c>
      <c r="I19" s="2" t="s">
        <v>103</v>
      </c>
      <c r="J19" s="2" t="s">
        <v>104</v>
      </c>
      <c r="K19" s="2" t="s">
        <v>105</v>
      </c>
      <c r="L19" s="2" t="s">
        <v>106</v>
      </c>
      <c r="M19" s="2" t="s">
        <v>33</v>
      </c>
      <c r="N19" s="2" t="s">
        <v>107</v>
      </c>
      <c r="O19" s="2" t="s">
        <v>108</v>
      </c>
      <c r="P19" s="2" t="s">
        <v>109</v>
      </c>
      <c r="Q19" s="2" t="s">
        <v>110</v>
      </c>
      <c r="R19" s="2" t="s">
        <v>111</v>
      </c>
      <c r="S19" s="2" t="s">
        <v>112</v>
      </c>
      <c r="T19" s="2" t="s">
        <v>113</v>
      </c>
      <c r="U19" s="2" t="s">
        <v>114</v>
      </c>
      <c r="V19" s="2" t="s">
        <v>115</v>
      </c>
      <c r="W19" s="2" t="s">
        <v>116</v>
      </c>
      <c r="X19" s="2" t="s">
        <v>57</v>
      </c>
      <c r="Y19" s="2" t="s">
        <v>117</v>
      </c>
      <c r="Z19" s="2" t="s">
        <v>58</v>
      </c>
      <c r="AA19" s="2" t="s">
        <v>118</v>
      </c>
    </row>
    <row r="20" spans="1:27" x14ac:dyDescent="0.25">
      <c r="A20" s="3" t="s">
        <v>40</v>
      </c>
      <c r="B20" s="4" t="s">
        <v>119</v>
      </c>
      <c r="C20" s="25" t="s">
        <v>42</v>
      </c>
      <c r="D20" t="s">
        <v>43</v>
      </c>
      <c r="E20" t="s">
        <v>44</v>
      </c>
      <c r="F20" s="9" t="s">
        <v>47</v>
      </c>
      <c r="G20" t="s">
        <v>120</v>
      </c>
      <c r="H20" s="9" t="s">
        <v>48</v>
      </c>
      <c r="I20" s="9" t="s">
        <v>49</v>
      </c>
      <c r="J20" s="9" t="s">
        <v>50</v>
      </c>
      <c r="K20" t="s">
        <v>121</v>
      </c>
      <c r="L20" t="s">
        <v>39</v>
      </c>
      <c r="M20" t="s">
        <v>45</v>
      </c>
      <c r="N20" t="s">
        <v>122</v>
      </c>
      <c r="O20" t="s">
        <v>65</v>
      </c>
      <c r="P20" t="s">
        <v>123</v>
      </c>
      <c r="Q20" t="s">
        <v>124</v>
      </c>
      <c r="R20" t="e">
        <f>IF(E20&gt;0,IF(E20="Unit",CONCATENATE(Settings!Q20," ",Settings!E20,"s"),CONCATENATE((Settings!Q20/Settings!M20)," ",Settings!E20,"s")),"")</f>
        <v>#VALUE!</v>
      </c>
      <c r="S20" s="35" t="s">
        <v>125</v>
      </c>
      <c r="T20" s="35" t="s">
        <v>126</v>
      </c>
      <c r="U20" s="35" t="s">
        <v>127</v>
      </c>
      <c r="V20" t="s">
        <v>52</v>
      </c>
      <c r="W20" t="s">
        <v>128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2024-05-03T09:56:04Z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