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https://bayergroup-my.sharepoint.com/personal/kosal_kirthiga_ext_bayer_com/Documents/Desktop/ThailandLates/"/>
    </mc:Choice>
  </mc:AlternateContent>
  <xr:revisionPtr revIDLastSave="744" documentId="8_{DE39F225-2AE1-4446-AB5F-E204FEABCD0B}" xr6:coauthVersionLast="47" xr6:coauthVersionMax="47" xr10:uidLastSave="{D6687FCF-85C2-4609-9F31-BEAC31927B96}"/>
  <bookViews>
    <workbookView xWindow="-120" yWindow="-120" windowWidth="20730" windowHeight="11160" xr2:uid="{F5CC2154-27BB-4652-B61E-D913F0CC6809}"/>
  </bookViews>
  <sheets>
    <sheet name="Quotation" sheetId="3" r:id="rId1"/>
    <sheet name="Setting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0" i="2" l="1"/>
  <c r="D9" i="3"/>
  <c r="R21" i="2"/>
  <c r="R22" i="2"/>
  <c r="R23" i="2"/>
  <c r="R24" i="2"/>
  <c r="R25" i="2"/>
  <c r="R26" i="2"/>
  <c r="R27" i="2"/>
  <c r="R28" i="2"/>
  <c r="R29" i="2"/>
  <c r="R30" i="2"/>
  <c r="R31" i="2"/>
  <c r="R32" i="2"/>
  <c r="R33" i="2"/>
  <c r="R34" i="2"/>
  <c r="R35" i="2"/>
  <c r="R36" i="2"/>
  <c r="R37" i="2"/>
  <c r="R38" i="2"/>
  <c r="R39" i="2"/>
  <c r="R40" i="2"/>
  <c r="R41" i="2"/>
  <c r="R42" i="2"/>
  <c r="R43" i="2"/>
  <c r="R44" i="2"/>
  <c r="R45" i="2"/>
  <c r="R46" i="2"/>
  <c r="R47" i="2"/>
  <c r="R48" i="2"/>
  <c r="R49" i="2"/>
  <c r="R50" i="2"/>
  <c r="R51" i="2"/>
  <c r="R52" i="2"/>
  <c r="R53" i="2"/>
  <c r="R54" i="2"/>
  <c r="D8" i="3" l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<sst xmlns="http://schemas.openxmlformats.org/spreadsheetml/2006/main" count="175" uniqueCount="131">
  <si>
    <t>${offerValidation.INSTITUTENAME}</t>
  </si>
  <si>
    <t>Offer Party</t>
  </si>
  <si>
    <t>Contract Number</t>
  </si>
  <si>
    <t>Tender Reference</t>
  </si>
  <si>
    <t>Offer Date</t>
  </si>
  <si>
    <t>Offer Validity</t>
  </si>
  <si>
    <t>Shipment Terms</t>
  </si>
  <si>
    <t>Payment Terms</t>
  </si>
  <si>
    <t>Delivery Terms</t>
  </si>
  <si>
    <t>Pack Factor</t>
  </si>
  <si>
    <t>MSP</t>
  </si>
  <si>
    <t>Samples</t>
  </si>
  <si>
    <t>Origin</t>
  </si>
  <si>
    <t>FOC</t>
  </si>
  <si>
    <t>${offerValidation.OFFERID}</t>
  </si>
  <si>
    <t>${offerValidation.TENDERID}</t>
  </si>
  <si>
    <t>${offerValidation.OFFERDATE}</t>
  </si>
  <si>
    <t>${offerValidation.OFFERVALIDITY}</t>
  </si>
  <si>
    <t>${offerValidation.DELIVERYTERMS}</t>
  </si>
  <si>
    <t>${offerValidation.PAYMENTTERMS}</t>
  </si>
  <si>
    <t>${offerValidation.SHIPMENTTERMS}</t>
  </si>
  <si>
    <t>${table:offerProductValidation.PRODUCT_UNIT_NAME}</t>
  </si>
  <si>
    <t>${table:offerProductValidation.SKU}</t>
  </si>
  <si>
    <t>${table:offerProductValidation.PACKSIZE}</t>
  </si>
  <si>
    <t>${table:offerProductValidation.SAMPLES}</t>
  </si>
  <si>
    <t>${table:offerProductValidation.COUNTRYOFORIGIN}</t>
  </si>
  <si>
    <t>${table:offerProductValidation.FOC}</t>
  </si>
  <si>
    <t>${table:offerProductValidation.PAID_VOLUME}</t>
  </si>
  <si>
    <t>${table:offerProductValidation.UNIT}</t>
  </si>
  <si>
    <t>PAID VOLUME</t>
  </si>
  <si>
    <t>UNIT</t>
  </si>
  <si>
    <t>${table:offerProductValidation.OFFER_PRICE}</t>
  </si>
  <si>
    <t>OFFER PRICE</t>
  </si>
  <si>
    <t>${table:offerProductValidation.CURRENCY}</t>
  </si>
  <si>
    <t>CURRENCY</t>
  </si>
  <si>
    <t>OFFER_PRICE_VAT</t>
  </si>
  <si>
    <t>${table:offerProductValidation.OFFER_PRICE_VAT}</t>
  </si>
  <si>
    <t>${table:offerProductValidation.GROSS_SALES_OFFER_CURRENCY}</t>
  </si>
  <si>
    <t>GROSS SALES OFFER CURRENCY</t>
  </si>
  <si>
    <t>${table:offerProductValidation.GROSS_SALES_OFFER_CURRENCY_VAT}</t>
  </si>
  <si>
    <t>GROSS_SALES_OFFER_CURRENCY_VAT</t>
  </si>
  <si>
    <t>${table:offerProductValidation.OFFER_ID}</t>
  </si>
  <si>
    <t>OFFER_ID</t>
  </si>
  <si>
    <t>${table:offerProductValidation.SORTER}</t>
  </si>
  <si>
    <t>SORTER</t>
  </si>
  <si>
    <t>Header fields</t>
  </si>
  <si>
    <t>Description</t>
  </si>
  <si>
    <t>Product table fields</t>
  </si>
  <si>
    <t>SKU CODE</t>
  </si>
  <si>
    <t>Article name</t>
  </si>
  <si>
    <t>Total Quantity Units</t>
  </si>
  <si>
    <t>Total QTY</t>
  </si>
  <si>
    <t>Net Price</t>
  </si>
  <si>
    <t>${table:offerProductValidation.NET_PRICE}</t>
  </si>
  <si>
    <t>Amount in numbers</t>
  </si>
  <si>
    <t>${offerValidation.AMOUNT_IN_NUMBERS}</t>
  </si>
  <si>
    <t>VAT total</t>
  </si>
  <si>
    <t>${offerValidation.AMOUNT_IN_NUMBERS_VAT}</t>
  </si>
  <si>
    <t>Amount in numbers vat</t>
  </si>
  <si>
    <t>${offerValidation.PROCUREMENT_REASON}</t>
  </si>
  <si>
    <t>Procurement reason</t>
  </si>
  <si>
    <t>${offerValidation.VAT_TOTAL}</t>
  </si>
  <si>
    <t>${table:offerProductValidation.TOTAL_QUANTITY_UNITS}</t>
  </si>
  <si>
    <t>Offered Party</t>
  </si>
  <si>
    <t>Selling Company</t>
  </si>
  <si>
    <t>Address</t>
  </si>
  <si>
    <t>Quotation Request Information</t>
  </si>
  <si>
    <t>FAST Request ID</t>
  </si>
  <si>
    <t>Material Group</t>
  </si>
  <si>
    <t>Requestor Name</t>
  </si>
  <si>
    <t>Customer ID</t>
  </si>
  <si>
    <t>Offer Approval Date</t>
  </si>
  <si>
    <t>Contact Information</t>
  </si>
  <si>
    <t>Customer Name</t>
  </si>
  <si>
    <t>Bayer Representative</t>
  </si>
  <si>
    <t>Price Quotation</t>
  </si>
  <si>
    <t>No.</t>
  </si>
  <si>
    <t>Material Code</t>
  </si>
  <si>
    <t>Product Name</t>
  </si>
  <si>
    <t>Product Generic Name</t>
  </si>
  <si>
    <t>Total Offer Value</t>
  </si>
  <si>
    <t>excl. vat.</t>
  </si>
  <si>
    <t>incl. vat.</t>
  </si>
  <si>
    <t>Product Offer Information</t>
  </si>
  <si>
    <t>Offer Pack Description</t>
  </si>
  <si>
    <t>TPU</t>
  </si>
  <si>
    <t>GPU</t>
  </si>
  <si>
    <t>THCC 
(24 Digit Code)</t>
  </si>
  <si>
    <t>Manufacturer</t>
  </si>
  <si>
    <t>Country of Origin</t>
  </si>
  <si>
    <t>Customer Request Information</t>
  </si>
  <si>
    <t>Quotation Delivery Channels</t>
  </si>
  <si>
    <t>Receiver Information (Name, Phone, Address and/or Email)</t>
  </si>
  <si>
    <t>Quotation Date (วันที่)</t>
  </si>
  <si>
    <t>DKSH Quotation Office</t>
  </si>
  <si>
    <t>Attention to (เรียน)</t>
  </si>
  <si>
    <t>Send to Bayer</t>
  </si>
  <si>
    <t>Validity Period (กำหนดยืนราคา)</t>
  </si>
  <si>
    <t>years (ปี)</t>
  </si>
  <si>
    <t>Email/ Fax</t>
  </si>
  <si>
    <t>Delivery Due (กำหนดส่งสินค้า)</t>
  </si>
  <si>
    <t>Send to Customer</t>
  </si>
  <si>
    <t>Remarks</t>
  </si>
  <si>
    <t>${offerValidation.DISTRIBUTORNAME}</t>
  </si>
  <si>
    <t>${offerValidation.SELLINGCOMPANY}</t>
  </si>
  <si>
    <t>${offerValidation.DISTRIBUTORADDRESS}</t>
  </si>
  <si>
    <t>${offerValidation.CUSTOMER_CODE}</t>
  </si>
  <si>
    <t>${table:offerProductValidation.PRODUCTNAME}</t>
  </si>
  <si>
    <t>UOM</t>
  </si>
  <si>
    <t xml:space="preserve">Offer QTY 
</t>
  </si>
  <si>
    <t>${table:offerProductValidation.MANUFACTURER}</t>
  </si>
  <si>
    <t>${table:offerProductValidation.NET_PRICE_UNIT_OFFER_CURRENCY_VAT}</t>
  </si>
  <si>
    <t>Net Price Pack Vat</t>
  </si>
  <si>
    <t>Net Price Unit Vat</t>
  </si>
  <si>
    <t xml:space="preserve">With reference to the above tender, you must not on-sell the above mentioned products at a price higher than those listed above. However, you are always free to sell at a price lower, at your discretion. </t>
  </si>
  <si>
    <t>${table:offerProductValidation.PRESENTATION}</t>
  </si>
  <si>
    <t>130/1 North Sathon Road, Silom, Bangrak, Bangkok 10500</t>
  </si>
  <si>
    <t>0100</t>
  </si>
  <si>
    <t xml:space="preserve">${offerValidation.TENDERID}		</t>
  </si>
  <si>
    <t>ProductGenericname</t>
  </si>
  <si>
    <t>ProductGenericName</t>
  </si>
  <si>
    <t>${table:offerProductValidation.CODE3}</t>
  </si>
  <si>
    <t>${table:offerProductValidation.CODE2}</t>
  </si>
  <si>
    <t>THCC</t>
  </si>
  <si>
    <t>${table:offerProductValidation.GOV_CODE}</t>
  </si>
  <si>
    <t>Unit Dosage</t>
  </si>
  <si>
    <t>${table:offerProductValidation.PRODUCTGENERICNAME}</t>
  </si>
  <si>
    <t>${offerValidation.PRODUCT_UNIT_NAME}</t>
  </si>
  <si>
    <t>${table:offerProductValidation.NET_PRICE_VAT}</t>
  </si>
  <si>
    <t>Total</t>
  </si>
  <si>
    <t>${table:offerProductValidation.PRESENTATION_2}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</si>
</sst>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#\.###\.###.00"/>
  </numFmts>
  <fonts count="13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sz val="10"/>
      <color theme="5"/>
      <name val="Calibri"/>
      <family val="2"/>
      <scheme val="minor"/>
    </font>
    <font>
      <b/>
      <sz val="10"/>
      <color theme="8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8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/>
      <top style="thin">
        <color theme="4"/>
      </top>
      <bottom/>
      <diagonal/>
    </border>
    <border>
      <left style="thin">
        <color theme="4"/>
      </left>
      <right/>
      <top style="thin">
        <color theme="4"/>
      </top>
      <bottom style="thin">
        <color theme="4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3" fillId="2" borderId="1" xfId="0" applyFont="1" applyFill="1" applyBorder="1"/>
    <xf numFmtId="0" fontId="3" fillId="2" borderId="2" xfId="0" applyFont="1" applyFill="1" applyBorder="1"/>
    <xf numFmtId="164" fontId="0" fillId="0" borderId="0" xfId="0" applyNumberFormat="1"/>
    <xf numFmtId="0" fontId="5" fillId="0" borderId="0" xfId="0" applyFont="1"/>
    <xf numFmtId="0" fontId="5" fillId="3" borderId="5" xfId="0" applyFont="1" applyFill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/>
    </xf>
    <xf numFmtId="0" fontId="5" fillId="0" borderId="5" xfId="0" applyFont="1" applyBorder="1" applyAlignment="1">
      <alignment horizontal="center" vertical="center"/>
    </xf>
    <xf numFmtId="43" fontId="5" fillId="0" borderId="5" xfId="1" applyFont="1" applyBorder="1"/>
    <xf numFmtId="43" fontId="5" fillId="0" borderId="5" xfId="1" applyFont="1" applyFill="1" applyBorder="1"/>
    <xf numFmtId="0" fontId="5" fillId="0" borderId="5" xfId="0" applyFont="1" applyBorder="1"/>
    <xf numFmtId="0" fontId="8" fillId="0" borderId="0" xfId="0" applyFont="1"/>
    <xf numFmtId="0" fontId="7" fillId="0" borderId="0" xfId="0" applyFont="1" applyAlignment="1">
      <alignment vertical="center"/>
    </xf>
    <xf numFmtId="0" fontId="11" fillId="3" borderId="5" xfId="0" applyFont="1" applyFill="1" applyBorder="1" applyAlignment="1">
      <alignment vertical="top"/>
    </xf>
    <xf numFmtId="0" fontId="5" fillId="3" borderId="5" xfId="0" applyFont="1" applyFill="1" applyBorder="1" applyAlignment="1">
      <alignment vertical="top"/>
    </xf>
    <xf numFmtId="0" fontId="11" fillId="0" borderId="5" xfId="0" applyFont="1" applyBorder="1"/>
    <xf numFmtId="0" fontId="11" fillId="3" borderId="5" xfId="0" applyFont="1" applyFill="1" applyBorder="1"/>
    <xf numFmtId="0" fontId="5" fillId="3" borderId="5" xfId="0" applyFont="1" applyFill="1" applyBorder="1"/>
    <xf numFmtId="0" fontId="5" fillId="0" borderId="0" xfId="0" applyFont="1" applyAlignment="1">
      <alignment horizontal="center"/>
    </xf>
    <xf numFmtId="0" fontId="0" fillId="0" borderId="5" xfId="0" applyBorder="1"/>
    <xf numFmtId="0" fontId="6" fillId="4" borderId="5" xfId="0" applyFont="1" applyFill="1" applyBorder="1" applyAlignment="1">
      <alignment vertical="top"/>
    </xf>
    <xf numFmtId="0" fontId="6" fillId="4" borderId="5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wrapText="1"/>
    </xf>
    <xf numFmtId="0" fontId="12" fillId="0" borderId="0" xfId="0" applyFont="1" applyAlignment="1">
      <alignment vertical="top" wrapText="1"/>
    </xf>
    <xf numFmtId="0" fontId="5" fillId="0" borderId="5" xfId="0" applyFont="1" applyBorder="1" applyAlignment="1">
      <alignment vertical="center"/>
    </xf>
    <xf numFmtId="0" fontId="0" fillId="0" borderId="0" xfId="0" applyAlignment="1">
      <alignment wrapText="1"/>
    </xf>
    <xf numFmtId="0" fontId="5" fillId="3" borderId="6" xfId="0" applyFont="1" applyFill="1" applyBorder="1" applyAlignment="1">
      <alignment horizontal="left" vertical="center" wrapText="1"/>
    </xf>
    <xf numFmtId="0" fontId="1" fillId="0" borderId="5" xfId="0" applyFont="1" applyBorder="1"/>
    <xf numFmtId="0" fontId="3" fillId="2" borderId="5" xfId="0" applyFont="1" applyFill="1" applyBorder="1"/>
    <xf numFmtId="2" fontId="0" fillId="0" borderId="0" xfId="0" applyNumberFormat="1"/>
    <xf numFmtId="43" fontId="5" fillId="0" borderId="5" xfId="1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0" fillId="0" borderId="5" xfId="0" applyBorder="1" applyAlignment="1">
      <alignment wrapText="1"/>
    </xf>
    <xf numFmtId="0" fontId="5" fillId="0" borderId="0" xfId="0" applyFont="1" applyAlignment="1">
      <alignment wrapText="1"/>
    </xf>
    <xf numFmtId="2" fontId="0" fillId="0" borderId="5" xfId="0" applyNumberFormat="1" applyBorder="1" applyAlignment="1">
      <alignment horizontal="center"/>
    </xf>
    <xf numFmtId="0" fontId="6" fillId="3" borderId="12" xfId="0" applyFont="1" applyFill="1" applyBorder="1" applyAlignment="1">
      <alignment vertical="top"/>
    </xf>
    <xf numFmtId="0" fontId="5" fillId="0" borderId="12" xfId="0" applyFont="1" applyBorder="1" applyAlignment="1">
      <alignment horizontal="center"/>
    </xf>
    <xf numFmtId="0" fontId="5" fillId="0" borderId="5" xfId="0" quotePrefix="1" applyFont="1" applyBorder="1" applyAlignment="1">
      <alignment horizontal="center"/>
    </xf>
    <xf numFmtId="0" fontId="5" fillId="0" borderId="6" xfId="0" applyFont="1" applyBorder="1" applyAlignment="1">
      <alignment horizontal="left" vertical="top"/>
    </xf>
    <xf numFmtId="0" fontId="5" fillId="0" borderId="7" xfId="0" applyFont="1" applyBorder="1" applyAlignment="1">
      <alignment horizontal="left" vertical="top"/>
    </xf>
    <xf numFmtId="0" fontId="5" fillId="0" borderId="8" xfId="0" applyFont="1" applyBorder="1" applyAlignment="1">
      <alignment horizontal="left" vertical="top"/>
    </xf>
    <xf numFmtId="0" fontId="5" fillId="0" borderId="6" xfId="0" applyFont="1" applyBorder="1" applyAlignment="1">
      <alignment horizontal="left" wrapText="1"/>
    </xf>
    <xf numFmtId="0" fontId="5" fillId="0" borderId="7" xfId="0" applyFont="1" applyBorder="1" applyAlignment="1">
      <alignment horizontal="left" wrapText="1"/>
    </xf>
    <xf numFmtId="0" fontId="5" fillId="0" borderId="8" xfId="0" applyFont="1" applyBorder="1" applyAlignment="1">
      <alignment horizontal="left" wrapText="1"/>
    </xf>
    <xf numFmtId="0" fontId="6" fillId="3" borderId="5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left" wrapText="1"/>
    </xf>
    <xf numFmtId="0" fontId="0" fillId="0" borderId="8" xfId="0" applyBorder="1" applyAlignment="1">
      <alignment horizontal="left" wrapText="1"/>
    </xf>
    <xf numFmtId="0" fontId="10" fillId="3" borderId="5" xfId="0" applyFont="1" applyFill="1" applyBorder="1" applyAlignment="1">
      <alignment horizontal="left"/>
    </xf>
    <xf numFmtId="0" fontId="10" fillId="3" borderId="5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left" vertical="top"/>
    </xf>
    <xf numFmtId="0" fontId="7" fillId="4" borderId="6" xfId="0" applyFont="1" applyFill="1" applyBorder="1" applyAlignment="1">
      <alignment horizontal="center"/>
    </xf>
    <xf numFmtId="0" fontId="7" fillId="4" borderId="7" xfId="0" applyFont="1" applyFill="1" applyBorder="1" applyAlignment="1">
      <alignment horizontal="center"/>
    </xf>
    <xf numFmtId="0" fontId="7" fillId="4" borderId="8" xfId="0" applyFont="1" applyFill="1" applyBorder="1" applyAlignment="1">
      <alignment horizontal="center"/>
    </xf>
    <xf numFmtId="0" fontId="9" fillId="3" borderId="11" xfId="0" applyFont="1" applyFill="1" applyBorder="1" applyAlignment="1">
      <alignment horizontal="left" vertical="top"/>
    </xf>
    <xf numFmtId="0" fontId="9" fillId="3" borderId="14" xfId="0" applyFont="1" applyFill="1" applyBorder="1" applyAlignment="1">
      <alignment horizontal="left" vertical="top"/>
    </xf>
    <xf numFmtId="0" fontId="9" fillId="3" borderId="6" xfId="0" applyFont="1" applyFill="1" applyBorder="1" applyAlignment="1">
      <alignment horizontal="left" vertical="top"/>
    </xf>
    <xf numFmtId="0" fontId="9" fillId="3" borderId="8" xfId="0" applyFont="1" applyFill="1" applyBorder="1" applyAlignment="1">
      <alignment horizontal="left" vertical="top"/>
    </xf>
    <xf numFmtId="0" fontId="5" fillId="0" borderId="6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 vertical="top" wrapText="1"/>
    </xf>
    <xf numFmtId="0" fontId="5" fillId="0" borderId="8" xfId="0" applyFont="1" applyBorder="1" applyAlignment="1">
      <alignment horizontal="left" vertical="top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10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horizontal="center" vertical="center" wrapText="1"/>
    </xf>
    <xf numFmtId="0" fontId="6" fillId="3" borderId="11" xfId="0" applyFont="1" applyFill="1" applyBorder="1" applyAlignment="1">
      <alignment horizontal="left" vertical="top"/>
    </xf>
    <xf numFmtId="0" fontId="6" fillId="3" borderId="13" xfId="0" applyFont="1" applyFill="1" applyBorder="1" applyAlignment="1">
      <alignment horizontal="left" vertical="top"/>
    </xf>
    <xf numFmtId="0" fontId="6" fillId="3" borderId="6" xfId="0" applyFont="1" applyFill="1" applyBorder="1" applyAlignment="1">
      <alignment horizontal="left" vertical="top"/>
    </xf>
    <xf numFmtId="0" fontId="6" fillId="3" borderId="7" xfId="0" applyFont="1" applyFill="1" applyBorder="1" applyAlignment="1">
      <alignment horizontal="left" vertical="top"/>
    </xf>
    <xf numFmtId="0" fontId="6" fillId="3" borderId="5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43" fontId="5" fillId="0" borderId="5" xfId="1" applyFont="1" applyFill="1" applyBorder="1" applyAlignment="1">
      <alignment horizontal="center"/>
    </xf>
    <xf numFmtId="49" fontId="5" fillId="0" borderId="13" xfId="0" applyNumberFormat="1" applyFont="1" applyBorder="1" applyAlignment="1">
      <alignment horizontal="left" vertical="top"/>
    </xf>
    <xf numFmtId="49" fontId="5" fillId="0" borderId="14" xfId="0" applyNumberFormat="1" applyFont="1" applyBorder="1" applyAlignment="1">
      <alignment horizontal="left" vertical="top"/>
    </xf>
    <xf numFmtId="49" fontId="5" fillId="0" borderId="7" xfId="0" applyNumberFormat="1" applyFont="1" applyBorder="1" applyAlignment="1">
      <alignment horizontal="left" vertical="top"/>
    </xf>
    <xf numFmtId="49" fontId="5" fillId="0" borderId="8" xfId="0" applyNumberFormat="1" applyFont="1" applyBorder="1" applyAlignment="1">
      <alignment horizontal="left" vertical="top"/>
    </xf>
    <xf numFmtId="0" fontId="5" fillId="0" borderId="12" xfId="0" applyFont="1" applyBorder="1" applyAlignment="1">
      <alignment horizontal="left" wrapText="1"/>
    </xf>
    <xf numFmtId="0" fontId="5" fillId="0" borderId="5" xfId="0" applyFont="1" applyBorder="1" applyAlignment="1">
      <alignment horizontal="left" wrapText="1"/>
    </xf>
    <xf numFmtId="0" fontId="5" fillId="0" borderId="6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6" fillId="4" borderId="6" xfId="0" applyFont="1" applyFill="1" applyBorder="1" applyAlignment="1">
      <alignment horizontal="left" vertical="top"/>
    </xf>
    <xf numFmtId="0" fontId="6" fillId="4" borderId="7" xfId="0" applyFont="1" applyFill="1" applyBorder="1" applyAlignment="1">
      <alignment horizontal="left" vertical="top"/>
    </xf>
    <xf numFmtId="0" fontId="6" fillId="4" borderId="8" xfId="0" applyFont="1" applyFill="1" applyBorder="1" applyAlignment="1">
      <alignment horizontal="left" vertical="top"/>
    </xf>
    <xf numFmtId="0" fontId="11" fillId="0" borderId="6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8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11" fillId="0" borderId="6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0" fillId="0" borderId="0" xfId="0" applyAlignment="1">
      <alignment horizontal="center"/>
    </xf>
    <xf numFmtId="0" fontId="12" fillId="0" borderId="5" xfId="0" applyFont="1" applyBorder="1" applyAlignment="1">
      <alignment horizontal="left" vertical="top" wrapText="1"/>
    </xf>
    <xf numFmtId="0" fontId="5" fillId="0" borderId="7" xfId="0" applyFont="1" applyBorder="1" applyAlignment="1">
      <alignment horizontal="left"/>
    </xf>
    <xf numFmtId="0" fontId="7" fillId="5" borderId="5" xfId="0" applyFont="1" applyFill="1" applyBorder="1" applyAlignment="1">
      <alignment horizontal="center"/>
    </xf>
    <xf numFmtId="0" fontId="5" fillId="3" borderId="5" xfId="0" applyFont="1" applyFill="1" applyBorder="1" applyAlignment="1">
      <alignment horizontal="center" vertical="center" wrapText="1"/>
    </xf>
    <xf numFmtId="49" fontId="5" fillId="0" borderId="5" xfId="0" applyNumberFormat="1" applyFont="1" applyBorder="1" applyAlignment="1">
      <alignment horizontal="center"/>
    </xf>
    <xf numFmtId="43" fontId="6" fillId="0" borderId="5" xfId="1" applyFont="1" applyFill="1" applyBorder="1" applyAlignment="1">
      <alignment horizontal="center"/>
    </xf>
    <xf numFmtId="0" fontId="7" fillId="4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/>
    </xf>
    <xf numFmtId="0" fontId="6" fillId="4" borderId="6" xfId="0" applyFont="1" applyFill="1" applyBorder="1" applyAlignment="1">
      <alignment horizontal="center" vertical="center"/>
    </xf>
    <xf numFmtId="0" fontId="6" fillId="4" borderId="8" xfId="0" applyFont="1" applyFill="1" applyBorder="1" applyAlignment="1">
      <alignment horizontal="center" vertical="center"/>
    </xf>
    <xf numFmtId="0" fontId="5" fillId="0" borderId="6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5" fillId="0" borderId="7" xfId="0" applyFont="1" applyBorder="1" applyAlignment="1">
      <alignment horizontal="center"/>
    </xf>
    <xf numFmtId="49" fontId="5" fillId="0" borderId="6" xfId="0" applyNumberFormat="1" applyFont="1" applyBorder="1" applyAlignment="1">
      <alignment horizontal="center"/>
    </xf>
    <xf numFmtId="49" fontId="5" fillId="0" borderId="7" xfId="0" applyNumberFormat="1" applyFont="1" applyBorder="1" applyAlignment="1">
      <alignment horizontal="center"/>
    </xf>
    <xf numFmtId="49" fontId="5" fillId="0" borderId="8" xfId="0" applyNumberFormat="1" applyFont="1" applyBorder="1" applyAlignment="1">
      <alignment horizontal="center"/>
    </xf>
  </cellXfs>
  <cellStyles count="2">
    <cellStyle name="Comma" xfId="1" builtinId="3"/>
    <cellStyle name="Normal" xfId="0" builtinId="0"/>
  </cellStyles>
  <dxfs count="7">
    <dxf>
      <font>
        <b/>
        <i val="0"/>
        <strike val="0"/>
        <condense val="0"/>
        <extend val="0"/>
        <outline val="0"/>
        <shadow val="0"/>
        <u/>
        <vertAlign val="baseline"/>
        <sz val="11"/>
        <color theme="1"/>
        <name val="Calibri"/>
        <family val="2"/>
        <scheme val="minor"/>
      </font>
    </dxf>
    <dxf>
      <numFmt numFmtId="0" formatCode="General"/>
    </dxf>
    <dxf>
      <numFmt numFmtId="164" formatCode="#\.###\.###.00"/>
    </dxf>
    <dxf>
      <numFmt numFmtId="164" formatCode="#\.###\.###.00"/>
    </dxf>
    <dxf>
      <numFmt numFmtId="164" formatCode="#\.###\.###.00"/>
    </dxf>
    <dxf>
      <numFmt numFmtId="164" formatCode="#\.###\.###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5" Type="http://schemas.openxmlformats.org/officeDocument/2006/relationships/customXml" Target="../customXml/item3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  <v>image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FFBCB4-83C9-46C5-9D10-EDD296E322D9}" name="Tabel2" displayName="Tabel2" ref="D19:AA54" totalsRowShown="0" headerRowDxfId="6">
  <autoFilter ref="D19:AA54" xr:uid="{2EFFBCB4-83C9-46C5-9D10-EDD296E322D9}"/>
  <tableColumns count="24">
    <tableColumn id="1" xr3:uid="{6E1F8ECB-E862-46B4-998C-BE8E89C238BA}" name="PAID VOLUME"/>
    <tableColumn id="2" xr3:uid="{6497AF92-63C8-4790-818D-6E5BE819E8D6}" name="UNIT"/>
    <tableColumn id="3" xr3:uid="{A1E59B72-B459-4BFA-9B37-9736C0F03B7E}" name="OFFER PRICE" dataDxfId="5"/>
    <tableColumn id="4" xr3:uid="{1CB5E955-18ED-4738-ACA1-E270D15916F8}" name="CURRENCY"/>
    <tableColumn id="5" xr3:uid="{77EEA9FC-8FC3-433A-9592-47B0D8B4C67B}" name="OFFER_PRICE_VAT" dataDxfId="4"/>
    <tableColumn id="6" xr3:uid="{38030720-EDB2-473C-9CF5-2E9C926DF088}" name="GROSS SALES OFFER CURRENCY" dataDxfId="3"/>
    <tableColumn id="7" xr3:uid="{A1EAF0A4-B4D5-428E-9D86-C12164DF9888}" name="GROSS_SALES_OFFER_CURRENCY_VAT" dataDxfId="2"/>
    <tableColumn id="8" xr3:uid="{06958303-4A18-40AA-8AD0-9A7EEFDCAF3E}" name="OFFER_ID"/>
    <tableColumn id="9" xr3:uid="{A1218AAF-0481-41A2-9C10-3038D1BF8C7D}" name="SORTER"/>
    <tableColumn id="10" xr3:uid="{5A7FFAC3-1C22-44BF-8C52-F3578967B0F3}" name="Pack Factor"/>
    <tableColumn id="11" xr3:uid="{2D111679-3BB3-4B04-986E-34E61AC9B6D1}" name="Samples"/>
    <tableColumn id="12" xr3:uid="{4A42B0A1-255A-4E7E-955E-674BA8AAA444}" name="Origin"/>
    <tableColumn id="13" xr3:uid="{7D1379AA-4B8F-4BC6-9726-365EBAE15341}" name="FOC"/>
    <tableColumn id="14" xr3:uid="{DF88A36E-0423-48FC-A1FC-B18BF3BA8D1A}" name="Total Quantity Units"/>
    <tableColumn id="15" xr3:uid="{6B128E87-63EB-483B-88D7-EA33600F43AB}" name="Total QTY" dataDxfId="1">
      <calculatedColumnFormula>IF(E20&gt;0,IF(E20="Unit",CONCATENATE(Settings!Q20," ",Settings!E20,"s"),CONCATENATE((Settings!Q20/Settings!M20)," ",Settings!E20,"s")),"")</calculatedColumnFormula>
    </tableColumn>
    <tableColumn id="16" xr3:uid="{E4D044B6-D053-487A-AA8C-F40FE34F30A7}" name="Net Price"/>
    <tableColumn id="17" xr3:uid="{F95E93A8-C80D-4AC7-9526-72374F546CE7}" name="Net Price Pack Vat"/>
    <tableColumn id="18" xr3:uid="{2DDE85E8-6C8E-4D93-A4E8-1F80D965246B}" name="Net Price Unit Vat"/>
    <tableColumn id="20" xr3:uid="{CB417A4B-91CA-49CD-9B3D-699005D44488}" name="Amount in numbers"/>
    <tableColumn id="21" xr3:uid="{07B28F29-5FC9-406A-96FC-77FFBFB88A05}" name="VAT total"/>
    <tableColumn id="23" xr3:uid="{6CCBAAC0-B712-4045-B8A8-11B1701BD7D7}" name="GPU"/>
    <tableColumn id="24" xr3:uid="{CCFCD047-C7DB-493A-9963-D2A80EA567D1}" name="THCC"/>
    <tableColumn id="19" xr3:uid="{EFC0A69B-3069-4765-A820-C00302221FA7}" name="TPU"/>
    <tableColumn id="22" xr3:uid="{275B8D63-D363-4D68-BC9C-CB91FD9D0201}" name="Amount in numbers vat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3195211-A053-4079-8580-181B8695617E}" name="Tabel14" displayName="Tabel14" ref="A1:B17" totalsRowShown="0" headerRowDxfId="0">
  <autoFilter ref="A1:B17" xr:uid="{13195211-A053-4079-8580-181B8695617E}"/>
  <tableColumns count="2">
    <tableColumn id="1" xr3:uid="{04053350-A8BA-4F7A-9272-32CAE894E561}" name="Header fields"/>
    <tableColumn id="2" xr3:uid="{91B26FA0-9378-480D-8354-6037F7FF582C}" name="Description"/>
  </tableColumns>
  <tableStyleInfo name="TableStyleMedium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Bayer 2017">
      <a:dk1>
        <a:srgbClr val="000000"/>
      </a:dk1>
      <a:lt1>
        <a:srgbClr val="FFFFFF"/>
      </a:lt1>
      <a:dk2>
        <a:srgbClr val="FF3162"/>
      </a:dk2>
      <a:lt2>
        <a:srgbClr val="624963"/>
      </a:lt2>
      <a:accent1>
        <a:srgbClr val="10384F"/>
      </a:accent1>
      <a:accent2>
        <a:srgbClr val="00BCFF"/>
      </a:accent2>
      <a:accent3>
        <a:srgbClr val="004422"/>
      </a:accent3>
      <a:accent4>
        <a:srgbClr val="89D329"/>
      </a:accent4>
      <a:accent5>
        <a:srgbClr val="443247"/>
      </a:accent5>
      <a:accent6>
        <a:srgbClr val="D30F4B"/>
      </a:accent6>
      <a:hlink>
        <a:srgbClr val="00BCFF"/>
      </a:hlink>
      <a:folHlink>
        <a:srgbClr val="10384F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A1999-1CF9-4903-BA7D-DD523B82D6C3}">
  <sheetPr codeName="Sheet1"/>
  <dimension ref="B2:O49"/>
  <sheetViews>
    <sheetView tabSelected="1" topLeftCell="B16" zoomScale="90" zoomScaleNormal="90" workbookViewId="0">
      <selection activeCell="D24" sqref="D24"/>
    </sheetView>
  </sheetViews>
  <sheetFormatPr defaultRowHeight="15" x14ac:dyDescent="0.25"/>
  <cols>
    <col min="2" max="2" width="12" customWidth="1"/>
    <col min="3" max="3" width="15.7109375" customWidth="1"/>
    <col min="4" max="4" width="33.28515625" bestFit="1" customWidth="1"/>
    <col min="5" max="5" width="52.42578125" bestFit="1" customWidth="1"/>
    <col min="6" max="6" width="11.85546875" customWidth="1"/>
    <col min="7" max="7" width="10.42578125" customWidth="1"/>
    <col min="8" max="8" width="13.28515625" customWidth="1"/>
    <col min="9" max="9" width="14.7109375" customWidth="1"/>
    <col min="10" max="10" width="21.28515625" customWidth="1"/>
    <col min="11" max="11" width="14.85546875" customWidth="1"/>
    <col min="12" max="12" width="12.5703125" customWidth="1"/>
    <col min="13" max="13" width="27" customWidth="1"/>
    <col min="14" max="14" width="26.7109375" customWidth="1"/>
  </cols>
  <sheetData>
    <row r="2" spans="2:14" x14ac:dyDescent="0.25"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</row>
    <row r="3" spans="2:14" x14ac:dyDescent="0.25">
      <c r="B3" s="26" t="s">
        <v>63</v>
      </c>
      <c r="C3" s="45" t="s">
        <v>103</v>
      </c>
      <c r="D3" s="46"/>
      <c r="E3" s="46"/>
      <c r="F3" s="46"/>
      <c r="G3" s="47"/>
      <c r="H3" s="10"/>
      <c r="I3" s="26" t="s">
        <v>64</v>
      </c>
      <c r="J3" s="45" t="s">
        <v>104</v>
      </c>
      <c r="K3" s="46"/>
      <c r="L3" s="46"/>
      <c r="M3" s="47"/>
      <c r="N3" s="10"/>
    </row>
    <row r="4" spans="2:14" ht="15" customHeight="1" x14ac:dyDescent="0.25">
      <c r="B4" s="27" t="s">
        <v>65</v>
      </c>
      <c r="C4" s="48" t="s">
        <v>105</v>
      </c>
      <c r="D4" s="49"/>
      <c r="E4" s="49"/>
      <c r="F4" s="49"/>
      <c r="G4" s="50"/>
      <c r="H4" s="10"/>
      <c r="I4" s="26" t="s">
        <v>65</v>
      </c>
      <c r="J4" s="64" t="s">
        <v>116</v>
      </c>
      <c r="K4" s="65"/>
      <c r="L4" s="65"/>
      <c r="M4" s="66"/>
      <c r="N4" s="10"/>
    </row>
    <row r="5" spans="2:14" x14ac:dyDescent="0.25"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  <c r="M5" s="10"/>
      <c r="N5" s="10"/>
    </row>
    <row r="6" spans="2:14" x14ac:dyDescent="0.25">
      <c r="B6" s="57" t="s">
        <v>66</v>
      </c>
      <c r="C6" s="58"/>
      <c r="D6" s="58"/>
      <c r="E6" s="58"/>
      <c r="F6" s="58"/>
      <c r="G6" s="58"/>
      <c r="H6" s="58"/>
      <c r="I6" s="58"/>
      <c r="J6" s="58"/>
      <c r="K6" s="58"/>
      <c r="L6" s="58"/>
      <c r="M6" s="58"/>
      <c r="N6" s="59"/>
    </row>
    <row r="7" spans="2:14" x14ac:dyDescent="0.25">
      <c r="B7" s="70" t="s">
        <v>67</v>
      </c>
      <c r="C7" s="71"/>
      <c r="D7" s="81" t="s">
        <v>118</v>
      </c>
      <c r="E7" s="81"/>
      <c r="F7" s="40"/>
      <c r="G7" s="42" t="s">
        <v>68</v>
      </c>
      <c r="H7" s="42"/>
      <c r="I7" s="77" t="s">
        <v>117</v>
      </c>
      <c r="J7" s="77"/>
      <c r="K7" s="78"/>
      <c r="L7" s="60" t="s">
        <v>69</v>
      </c>
      <c r="M7" s="61"/>
      <c r="N7" s="43"/>
    </row>
    <row r="8" spans="2:14" ht="26.25" customHeight="1" x14ac:dyDescent="0.25">
      <c r="B8" s="72" t="s">
        <v>70</v>
      </c>
      <c r="C8" s="73"/>
      <c r="D8" s="82" t="str">
        <f>Settings!A14</f>
        <v>${offerValidation.CUSTOMER_CODE}</v>
      </c>
      <c r="E8" s="82"/>
      <c r="F8" s="40"/>
      <c r="G8" s="54" t="s">
        <v>71</v>
      </c>
      <c r="H8" s="54"/>
      <c r="I8" s="79" t="s">
        <v>16</v>
      </c>
      <c r="J8" s="79"/>
      <c r="K8" s="80"/>
      <c r="L8" s="62" t="s">
        <v>72</v>
      </c>
      <c r="M8" s="63"/>
      <c r="N8" s="38"/>
    </row>
    <row r="9" spans="2:14" ht="26.25" customHeight="1" x14ac:dyDescent="0.25">
      <c r="B9" s="72" t="s">
        <v>73</v>
      </c>
      <c r="C9" s="73"/>
      <c r="D9" s="48" t="str">
        <f>Settings!A9</f>
        <v>${offerValidation.INSTITUTENAME}</v>
      </c>
      <c r="E9" s="50"/>
      <c r="F9" s="40"/>
      <c r="G9" s="55" t="s">
        <v>5</v>
      </c>
      <c r="H9" s="55"/>
      <c r="I9" s="79" t="s">
        <v>17</v>
      </c>
      <c r="J9" s="79"/>
      <c r="K9" s="80"/>
      <c r="L9" s="62" t="s">
        <v>74</v>
      </c>
      <c r="M9" s="63"/>
      <c r="N9" s="38"/>
    </row>
    <row r="10" spans="2:14" x14ac:dyDescent="0.25">
      <c r="B10" s="72" t="s">
        <v>6</v>
      </c>
      <c r="C10" s="73"/>
      <c r="D10" s="83" t="s">
        <v>20</v>
      </c>
      <c r="E10" s="84"/>
      <c r="F10" s="10"/>
      <c r="G10" s="56" t="s">
        <v>7</v>
      </c>
      <c r="H10" s="56"/>
      <c r="I10" s="52" t="s">
        <v>19</v>
      </c>
      <c r="J10" s="52"/>
      <c r="K10" s="53"/>
      <c r="L10" s="62" t="s">
        <v>72</v>
      </c>
      <c r="M10" s="63"/>
      <c r="N10" s="38"/>
    </row>
    <row r="11" spans="2:14" x14ac:dyDescent="0.25">
      <c r="B11" s="72" t="s">
        <v>8</v>
      </c>
      <c r="C11" s="73"/>
      <c r="D11" s="83" t="s">
        <v>18</v>
      </c>
      <c r="E11" s="84"/>
      <c r="F11" s="10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10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10"/>
    </row>
    <row r="13" spans="2:14" x14ac:dyDescent="0.25">
      <c r="B13" s="97" t="s">
        <v>75</v>
      </c>
      <c r="C13" s="97"/>
      <c r="D13" s="97"/>
      <c r="E13" s="97"/>
      <c r="F13" s="97"/>
      <c r="G13" s="97"/>
      <c r="H13" s="97"/>
      <c r="I13" s="97"/>
      <c r="J13" s="97"/>
      <c r="K13" s="97"/>
      <c r="L13" s="97"/>
      <c r="M13" s="97"/>
      <c r="N13" s="97"/>
    </row>
    <row r="14" spans="2:14" x14ac:dyDescent="0.25">
      <c r="B14" s="74" t="s">
        <v>76</v>
      </c>
      <c r="C14" s="51" t="s">
        <v>77</v>
      </c>
      <c r="D14" s="51" t="s">
        <v>78</v>
      </c>
      <c r="E14" s="51" t="s">
        <v>79</v>
      </c>
      <c r="F14" s="51" t="s">
        <v>109</v>
      </c>
      <c r="G14" s="51" t="s">
        <v>108</v>
      </c>
      <c r="H14" s="67" t="s">
        <v>9</v>
      </c>
      <c r="I14" s="51" t="s">
        <v>125</v>
      </c>
      <c r="J14" s="51" t="s">
        <v>10</v>
      </c>
      <c r="K14" s="51"/>
      <c r="L14" s="51"/>
      <c r="M14" s="51" t="s">
        <v>80</v>
      </c>
      <c r="N14" s="51"/>
    </row>
    <row r="15" spans="2:14" x14ac:dyDescent="0.25">
      <c r="B15" s="74"/>
      <c r="C15" s="51"/>
      <c r="D15" s="51"/>
      <c r="E15" s="51"/>
      <c r="F15" s="51"/>
      <c r="G15" s="51"/>
      <c r="H15" s="68"/>
      <c r="I15" s="51"/>
      <c r="J15" s="51"/>
      <c r="K15" s="51"/>
      <c r="L15" s="51"/>
      <c r="M15" s="51"/>
      <c r="N15" s="51"/>
    </row>
    <row r="16" spans="2:14" ht="25.5" customHeight="1" x14ac:dyDescent="0.25">
      <c r="B16" s="74"/>
      <c r="C16" s="51"/>
      <c r="D16" s="51"/>
      <c r="E16" s="51"/>
      <c r="F16" s="51"/>
      <c r="G16" s="51"/>
      <c r="H16" s="69"/>
      <c r="I16" s="51"/>
      <c r="J16" s="11" t="s">
        <v>81</v>
      </c>
      <c r="K16" s="98" t="s">
        <v>82</v>
      </c>
      <c r="L16" s="98"/>
      <c r="M16" s="11" t="s">
        <v>81</v>
      </c>
      <c r="N16" s="11" t="s">
        <v>82</v>
      </c>
    </row>
    <row r="17" spans="2:15" ht="30" x14ac:dyDescent="0.25">
      <c r="B17" s="25" t="s">
        <v>43</v>
      </c>
      <c r="C17" s="25" t="s">
        <v>22</v>
      </c>
      <c r="D17" s="39" t="s">
        <v>107</v>
      </c>
      <c r="E17" s="39" t="s">
        <v>126</v>
      </c>
      <c r="F17" s="25" t="s">
        <v>27</v>
      </c>
      <c r="G17" s="25" t="s">
        <v>28</v>
      </c>
      <c r="H17" s="25" t="s">
        <v>23</v>
      </c>
      <c r="I17" s="25" t="s">
        <v>115</v>
      </c>
      <c r="J17" s="25" t="s">
        <v>31</v>
      </c>
      <c r="K17" s="75" t="s">
        <v>36</v>
      </c>
      <c r="L17" s="75"/>
      <c r="M17" s="41" t="s">
        <v>37</v>
      </c>
      <c r="N17" s="41" t="s">
        <v>39</v>
      </c>
      <c r="O17" s="31"/>
    </row>
    <row r="18" spans="2:15" x14ac:dyDescent="0.25">
      <c r="B18" s="12"/>
      <c r="C18" s="12"/>
      <c r="D18" s="12"/>
      <c r="E18" s="30"/>
      <c r="F18" s="12"/>
      <c r="G18" s="25"/>
      <c r="H18" s="13"/>
      <c r="I18" s="12"/>
      <c r="J18" s="15"/>
      <c r="K18" s="76"/>
      <c r="L18" s="76"/>
      <c r="M18" s="14"/>
      <c r="N18" s="36"/>
    </row>
    <row r="19" spans="2:15" x14ac:dyDescent="0.25">
      <c r="B19" s="12"/>
      <c r="C19" s="12"/>
      <c r="D19" s="12"/>
      <c r="E19" s="30"/>
      <c r="F19" s="12"/>
      <c r="G19" s="25"/>
      <c r="H19" s="13"/>
      <c r="I19" s="12"/>
      <c r="J19" s="15"/>
      <c r="K19" s="100" t="s">
        <v>129</v>
      </c>
      <c r="L19" s="100"/>
      <c r="M19" s="37" t="s">
        <v>55</v>
      </c>
      <c r="N19" s="37" t="s">
        <v>57</v>
      </c>
    </row>
    <row r="20" spans="2:15" x14ac:dyDescent="0.25">
      <c r="B20" s="10"/>
      <c r="C20" s="10"/>
      <c r="D20" s="10"/>
      <c r="E20" s="10"/>
      <c r="F20" s="10"/>
      <c r="G20" s="10"/>
      <c r="H20" s="10"/>
      <c r="I20" s="10"/>
      <c r="J20" s="10"/>
      <c r="K20" s="10"/>
      <c r="L20" s="10"/>
      <c r="M20" s="10"/>
      <c r="N20" s="10"/>
    </row>
    <row r="21" spans="2:15" x14ac:dyDescent="0.25">
      <c r="B21" s="102" t="s">
        <v>83</v>
      </c>
      <c r="C21" s="102"/>
      <c r="D21" s="102"/>
      <c r="E21" s="102"/>
      <c r="F21" s="102"/>
      <c r="G21" s="102"/>
      <c r="H21" s="102"/>
      <c r="I21" s="102"/>
      <c r="J21" s="102"/>
      <c r="K21" s="102"/>
      <c r="L21" s="102"/>
      <c r="M21" s="10"/>
    </row>
    <row r="22" spans="2:15" x14ac:dyDescent="0.25">
      <c r="B22" s="74" t="s">
        <v>76</v>
      </c>
      <c r="C22" s="51" t="s">
        <v>77</v>
      </c>
      <c r="D22" s="51" t="s">
        <v>84</v>
      </c>
      <c r="E22" s="51" t="s">
        <v>87</v>
      </c>
      <c r="F22" s="51" t="s">
        <v>86</v>
      </c>
      <c r="G22" s="51" t="s">
        <v>85</v>
      </c>
      <c r="H22" s="51"/>
      <c r="I22" s="51"/>
      <c r="J22" s="51" t="s">
        <v>88</v>
      </c>
      <c r="K22" s="51"/>
      <c r="L22" s="51" t="s">
        <v>89</v>
      </c>
      <c r="M22" s="10"/>
    </row>
    <row r="23" spans="2:15" x14ac:dyDescent="0.25">
      <c r="B23" s="74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10"/>
    </row>
    <row r="24" spans="2:15" ht="15" customHeight="1" x14ac:dyDescent="0.25">
      <c r="B24" s="12" t="s">
        <v>43</v>
      </c>
      <c r="C24" s="37" t="s">
        <v>22</v>
      </c>
      <c r="D24" s="44" t="s">
        <v>130</v>
      </c>
      <c r="E24" s="38" t="s">
        <v>124</v>
      </c>
      <c r="F24" s="16" t="s">
        <v>122</v>
      </c>
      <c r="G24" s="105" t="s">
        <v>121</v>
      </c>
      <c r="H24" s="107"/>
      <c r="I24" s="106"/>
      <c r="J24" s="91" t="s">
        <v>110</v>
      </c>
      <c r="K24" s="91"/>
      <c r="L24" s="16" t="s">
        <v>25</v>
      </c>
      <c r="M24" s="10"/>
    </row>
    <row r="25" spans="2:15" x14ac:dyDescent="0.25">
      <c r="B25" s="16"/>
      <c r="C25" s="16"/>
      <c r="D25" s="16"/>
      <c r="E25" s="16"/>
      <c r="F25" s="16"/>
      <c r="G25" s="108"/>
      <c r="H25" s="109"/>
      <c r="I25" s="110"/>
      <c r="J25" s="91"/>
      <c r="K25" s="91"/>
      <c r="L25" s="16"/>
      <c r="M25" s="10"/>
    </row>
    <row r="26" spans="2:15" x14ac:dyDescent="0.25">
      <c r="B26" s="16"/>
      <c r="C26" s="16"/>
      <c r="D26" s="16"/>
      <c r="E26" s="16"/>
      <c r="F26" s="16"/>
      <c r="G26" s="99"/>
      <c r="H26" s="99"/>
      <c r="I26" s="99"/>
      <c r="J26" s="91"/>
      <c r="K26" s="91"/>
      <c r="L26" s="16"/>
      <c r="M26" s="10"/>
    </row>
    <row r="27" spans="2:15" x14ac:dyDescent="0.25">
      <c r="B27" s="10"/>
      <c r="C27" s="10"/>
      <c r="D27" s="17"/>
      <c r="E27" s="10"/>
      <c r="F27" s="10"/>
      <c r="G27" s="10"/>
      <c r="H27" s="17"/>
      <c r="I27" s="10"/>
      <c r="J27" s="10"/>
      <c r="K27" s="10"/>
      <c r="L27" s="10"/>
      <c r="M27" s="10"/>
      <c r="N27" s="10"/>
    </row>
    <row r="28" spans="2:15" ht="15" customHeight="1" x14ac:dyDescent="0.25">
      <c r="B28" s="101" t="s">
        <v>90</v>
      </c>
      <c r="C28" s="101"/>
      <c r="D28" s="101"/>
      <c r="E28" s="101"/>
      <c r="F28" s="18"/>
      <c r="G28" s="103" t="s">
        <v>91</v>
      </c>
      <c r="H28" s="104"/>
      <c r="I28" s="27" t="s">
        <v>92</v>
      </c>
      <c r="J28" s="27"/>
      <c r="K28" s="27"/>
      <c r="L28" s="27"/>
      <c r="M28" s="10"/>
      <c r="N28" s="10"/>
    </row>
    <row r="29" spans="2:15" x14ac:dyDescent="0.25">
      <c r="B29" s="19" t="s">
        <v>93</v>
      </c>
      <c r="C29" s="20"/>
      <c r="D29" s="90"/>
      <c r="E29" s="90"/>
      <c r="F29" s="10"/>
      <c r="G29" s="92" t="s">
        <v>94</v>
      </c>
      <c r="H29" s="93"/>
      <c r="I29" s="83"/>
      <c r="J29" s="96"/>
      <c r="K29" s="96"/>
      <c r="L29" s="84"/>
      <c r="M29" s="10"/>
      <c r="N29" s="10"/>
    </row>
    <row r="30" spans="2:15" x14ac:dyDescent="0.25">
      <c r="B30" s="19" t="s">
        <v>95</v>
      </c>
      <c r="C30" s="20"/>
      <c r="D30" s="91"/>
      <c r="E30" s="91"/>
      <c r="F30" s="10"/>
      <c r="G30" s="92" t="s">
        <v>96</v>
      </c>
      <c r="H30" s="93"/>
      <c r="I30" s="83"/>
      <c r="J30" s="96"/>
      <c r="K30" s="96"/>
      <c r="L30" s="84"/>
      <c r="M30" s="10"/>
      <c r="N30" s="10"/>
    </row>
    <row r="31" spans="2:15" x14ac:dyDescent="0.25">
      <c r="B31" s="19" t="s">
        <v>97</v>
      </c>
      <c r="C31" s="20"/>
      <c r="D31" s="16"/>
      <c r="E31" s="21" t="s">
        <v>98</v>
      </c>
      <c r="F31" s="10"/>
      <c r="G31" s="92" t="s">
        <v>99</v>
      </c>
      <c r="H31" s="93"/>
      <c r="I31" s="83"/>
      <c r="J31" s="96"/>
      <c r="K31" s="96"/>
      <c r="L31" s="84"/>
      <c r="M31" s="10"/>
      <c r="N31" s="10"/>
    </row>
    <row r="32" spans="2:15" x14ac:dyDescent="0.25">
      <c r="B32" s="22" t="s">
        <v>100</v>
      </c>
      <c r="C32" s="23"/>
      <c r="D32" s="16"/>
      <c r="E32" s="21" t="s">
        <v>98</v>
      </c>
      <c r="F32" s="10"/>
      <c r="G32" s="88" t="s">
        <v>101</v>
      </c>
      <c r="H32" s="89"/>
      <c r="I32" s="45"/>
      <c r="J32" s="46"/>
      <c r="K32" s="46"/>
      <c r="L32" s="47"/>
    </row>
    <row r="33" spans="2:14" x14ac:dyDescent="0.25">
      <c r="B33" s="10"/>
      <c r="C33" s="10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85" t="s">
        <v>102</v>
      </c>
      <c r="C34" s="86"/>
      <c r="D34" s="86"/>
      <c r="E34" s="86"/>
      <c r="F34" s="87"/>
      <c r="G34" s="10"/>
      <c r="H34" s="94" t="e" vm="1">
        <v>#VALUE!</v>
      </c>
      <c r="I34" s="94"/>
      <c r="J34" s="94"/>
    </row>
    <row r="35" spans="2:14" ht="15" customHeight="1" x14ac:dyDescent="0.25">
      <c r="B35" s="95" t="s">
        <v>114</v>
      </c>
      <c r="C35" s="95"/>
      <c r="D35" s="95"/>
      <c r="E35" s="95"/>
      <c r="F35" s="95"/>
      <c r="G35" s="29"/>
      <c r="H35" s="94"/>
      <c r="I35" s="94"/>
      <c r="J35" s="94"/>
    </row>
    <row r="36" spans="2:14" x14ac:dyDescent="0.25">
      <c r="B36" s="95"/>
      <c r="C36" s="95"/>
      <c r="D36" s="95"/>
      <c r="E36" s="95"/>
      <c r="F36" s="95"/>
      <c r="G36" s="29"/>
      <c r="H36" s="94"/>
      <c r="I36" s="94"/>
      <c r="J36" s="94"/>
    </row>
    <row r="37" spans="2:14" x14ac:dyDescent="0.25">
      <c r="B37" s="95"/>
      <c r="C37" s="95"/>
      <c r="D37" s="95"/>
      <c r="E37" s="95"/>
      <c r="F37" s="95"/>
      <c r="G37" s="29"/>
      <c r="H37" s="94"/>
      <c r="I37" s="94"/>
      <c r="J37" s="94"/>
    </row>
    <row r="38" spans="2:14" x14ac:dyDescent="0.25">
      <c r="B38" s="95"/>
      <c r="C38" s="95"/>
      <c r="D38" s="95"/>
      <c r="E38" s="95"/>
      <c r="F38" s="95"/>
      <c r="G38" s="29"/>
      <c r="H38" s="94"/>
      <c r="I38" s="94"/>
      <c r="J38" s="94"/>
    </row>
    <row r="39" spans="2:14" x14ac:dyDescent="0.25">
      <c r="B39" s="95"/>
      <c r="C39" s="95"/>
      <c r="D39" s="95"/>
      <c r="E39" s="95"/>
      <c r="F39" s="95"/>
      <c r="G39" s="29"/>
      <c r="H39" s="94"/>
      <c r="I39" s="94"/>
      <c r="J39" s="94"/>
    </row>
    <row r="40" spans="2:14" x14ac:dyDescent="0.25">
      <c r="B40" s="29"/>
      <c r="C40" s="29"/>
      <c r="D40" s="29"/>
      <c r="E40" s="29"/>
      <c r="F40" s="29"/>
      <c r="G40" s="29"/>
      <c r="H40" s="10"/>
      <c r="I40" s="10"/>
      <c r="J40" s="10"/>
    </row>
    <row r="41" spans="2:14" x14ac:dyDescent="0.25">
      <c r="B41" s="29"/>
      <c r="C41" s="29"/>
      <c r="D41" s="29"/>
      <c r="E41" s="29"/>
      <c r="F41" s="29"/>
      <c r="G41" s="29"/>
      <c r="H41" s="10"/>
      <c r="I41" s="10"/>
      <c r="J41" s="10"/>
    </row>
    <row r="42" spans="2:14" x14ac:dyDescent="0.25">
      <c r="B42" s="29"/>
      <c r="C42" s="29"/>
      <c r="D42" s="29"/>
      <c r="E42" s="29"/>
      <c r="F42" s="29"/>
      <c r="G42" s="29"/>
      <c r="H42" s="10"/>
      <c r="I42" s="10"/>
      <c r="J42" s="10"/>
      <c r="K42" s="10"/>
    </row>
    <row r="43" spans="2:14" x14ac:dyDescent="0.25">
      <c r="B43" s="29"/>
      <c r="C43" s="29"/>
      <c r="D43" s="29"/>
      <c r="E43" s="29"/>
      <c r="F43" s="29"/>
      <c r="G43" s="29"/>
      <c r="H43" s="10"/>
      <c r="I43" s="10"/>
      <c r="J43" s="10"/>
      <c r="K43" s="10"/>
    </row>
    <row r="44" spans="2:14" x14ac:dyDescent="0.25">
      <c r="B44" s="29"/>
      <c r="C44" s="29"/>
      <c r="D44" s="29"/>
      <c r="E44" s="29"/>
      <c r="F44" s="29"/>
      <c r="G44" s="29"/>
      <c r="H44" s="24"/>
      <c r="I44" s="24"/>
      <c r="J44" s="24"/>
    </row>
    <row r="45" spans="2:14" x14ac:dyDescent="0.25">
      <c r="B45" s="29"/>
      <c r="C45" s="29"/>
      <c r="D45" s="29"/>
      <c r="E45" s="29"/>
      <c r="F45" s="29"/>
      <c r="G45" s="29"/>
      <c r="H45" s="24"/>
      <c r="I45" s="24"/>
      <c r="J45" s="24"/>
    </row>
    <row r="46" spans="2:14" x14ac:dyDescent="0.25">
      <c r="B46" s="29"/>
      <c r="C46" s="29"/>
      <c r="D46" s="29"/>
      <c r="E46" s="29"/>
      <c r="F46" s="29"/>
      <c r="G46" s="29"/>
      <c r="H46" s="24"/>
      <c r="I46" s="24"/>
      <c r="J46" s="24"/>
    </row>
    <row r="47" spans="2:14" x14ac:dyDescent="0.25">
      <c r="B47" s="29"/>
      <c r="C47" s="29"/>
      <c r="D47" s="29"/>
      <c r="E47" s="29"/>
      <c r="F47" s="29"/>
      <c r="G47" s="29"/>
      <c r="H47" s="17"/>
      <c r="I47" s="10"/>
      <c r="J47" s="10"/>
    </row>
    <row r="48" spans="2:14" x14ac:dyDescent="0.25">
      <c r="B48" s="29"/>
      <c r="C48" s="29"/>
      <c r="D48" s="29"/>
      <c r="E48" s="29"/>
      <c r="F48" s="29"/>
      <c r="G48" s="29"/>
    </row>
    <row r="49" spans="2:7" x14ac:dyDescent="0.25">
      <c r="B49" s="29"/>
      <c r="C49" s="29"/>
      <c r="D49" s="29"/>
      <c r="E49" s="29"/>
      <c r="F49" s="29"/>
      <c r="G49" s="29"/>
    </row>
  </sheetData>
  <mergeCells count="71">
    <mergeCell ref="G25:I25"/>
    <mergeCell ref="J25:K25"/>
    <mergeCell ref="G28:H28"/>
    <mergeCell ref="G14:G16"/>
    <mergeCell ref="I14:I16"/>
    <mergeCell ref="J14:L15"/>
    <mergeCell ref="C22:C23"/>
    <mergeCell ref="D22:D23"/>
    <mergeCell ref="E22:E23"/>
    <mergeCell ref="F22:F23"/>
    <mergeCell ref="G22:I23"/>
    <mergeCell ref="C14:C16"/>
    <mergeCell ref="B13:N13"/>
    <mergeCell ref="L10:M10"/>
    <mergeCell ref="K16:L16"/>
    <mergeCell ref="I29:L29"/>
    <mergeCell ref="J22:K23"/>
    <mergeCell ref="G26:I26"/>
    <mergeCell ref="J26:K26"/>
    <mergeCell ref="G24:I24"/>
    <mergeCell ref="J24:K24"/>
    <mergeCell ref="L22:L23"/>
    <mergeCell ref="K19:L19"/>
    <mergeCell ref="B28:E28"/>
    <mergeCell ref="D14:D16"/>
    <mergeCell ref="B21:L21"/>
    <mergeCell ref="B22:B23"/>
    <mergeCell ref="B34:F34"/>
    <mergeCell ref="G32:H32"/>
    <mergeCell ref="D29:E29"/>
    <mergeCell ref="D30:E30"/>
    <mergeCell ref="G31:H31"/>
    <mergeCell ref="G29:H29"/>
    <mergeCell ref="G30:H30"/>
    <mergeCell ref="H34:J39"/>
    <mergeCell ref="B35:F39"/>
    <mergeCell ref="I31:L31"/>
    <mergeCell ref="I32:L32"/>
    <mergeCell ref="I30:L30"/>
    <mergeCell ref="B7:C7"/>
    <mergeCell ref="B10:C10"/>
    <mergeCell ref="B14:B16"/>
    <mergeCell ref="K17:L17"/>
    <mergeCell ref="K18:L18"/>
    <mergeCell ref="B8:C8"/>
    <mergeCell ref="B9:C9"/>
    <mergeCell ref="B11:C11"/>
    <mergeCell ref="I7:K7"/>
    <mergeCell ref="I8:K8"/>
    <mergeCell ref="I9:K9"/>
    <mergeCell ref="D7:E7"/>
    <mergeCell ref="D8:E8"/>
    <mergeCell ref="D9:E9"/>
    <mergeCell ref="D10:E10"/>
    <mergeCell ref="D11:E11"/>
    <mergeCell ref="C3:G3"/>
    <mergeCell ref="C4:G4"/>
    <mergeCell ref="F14:F16"/>
    <mergeCell ref="M14:N15"/>
    <mergeCell ref="I10:K10"/>
    <mergeCell ref="G8:H8"/>
    <mergeCell ref="G9:H9"/>
    <mergeCell ref="G10:H10"/>
    <mergeCell ref="B6:N6"/>
    <mergeCell ref="L7:M7"/>
    <mergeCell ref="L8:M8"/>
    <mergeCell ref="L9:M9"/>
    <mergeCell ref="E14:E16"/>
    <mergeCell ref="J3:M3"/>
    <mergeCell ref="J4:M4"/>
    <mergeCell ref="H14:H16"/>
  </mergeCells>
  <dataValidations count="2">
    <dataValidation type="list" allowBlank="1" showInputMessage="1" showErrorMessage="1" sqref="D25:D26" xr:uid="{B316A799-CF60-4C99-A88E-2204076E38E6}">
      <formula1>"กล่อง, เม็ด, ไวอัล, แอมพูล, ขวด, box, tablet, vial, ampoul, bottle"</formula1>
    </dataValidation>
    <dataValidation type="list" allowBlank="1" showInputMessage="1" showErrorMessage="1" sqref="E31:E32" xr:uid="{2CF9FB64-438B-485F-A115-633E3AF0704D}">
      <formula1>"Days (วัน), Months (เดือน), Years (ปี)"</formula1>
    </dataValidation>
  </dataValidations>
  <pageMargins left="0.7" right="0.7" top="0.75" bottom="0.75" header="0.3" footer="0.3"/>
  <pageSetup orientation="landscape" r:id="rId1"/>
  <headerFooter>
    <oddFooter>&amp;R_x000D_&amp;1#&amp;"Calibri"&amp;22&amp;KFF8939 RESTRICTED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BADA0-6CEF-4001-8243-A13FFD1BF3BE}">
  <sheetPr codeName="Sheet2"/>
  <dimension ref="A1:AA54"/>
  <sheetViews>
    <sheetView topLeftCell="P10" zoomScale="85" zoomScaleNormal="85" workbookViewId="0">
      <selection activeCell="S20" sqref="S20"/>
    </sheetView>
  </sheetViews>
  <sheetFormatPr defaultRowHeight="15" x14ac:dyDescent="0.25"/>
  <cols>
    <col min="1" max="1" width="43.5703125" bestFit="1" customWidth="1"/>
    <col min="2" max="2" width="50.28515625" bestFit="1" customWidth="1"/>
    <col min="3" max="3" width="50.28515625" style="25" customWidth="1"/>
    <col min="4" max="4" width="47.28515625" bestFit="1" customWidth="1"/>
    <col min="5" max="5" width="36.7109375" bestFit="1" customWidth="1"/>
    <col min="6" max="6" width="46.7109375" bestFit="1" customWidth="1"/>
    <col min="7" max="7" width="44.28515625" bestFit="1" customWidth="1"/>
    <col min="8" max="8" width="52.28515625" bestFit="1" customWidth="1"/>
    <col min="9" max="9" width="69.28515625" bestFit="1" customWidth="1"/>
    <col min="10" max="10" width="75.42578125" bestFit="1" customWidth="1"/>
    <col min="11" max="11" width="42.28515625" bestFit="1" customWidth="1"/>
    <col min="12" max="12" width="40.5703125" bestFit="1" customWidth="1"/>
    <col min="13" max="13" width="42.140625" bestFit="1" customWidth="1"/>
    <col min="14" max="14" width="41.7109375" bestFit="1" customWidth="1"/>
    <col min="15" max="15" width="52.85546875" bestFit="1" customWidth="1"/>
    <col min="16" max="16" width="36.28515625" bestFit="1" customWidth="1"/>
    <col min="17" max="17" width="46.7109375" bestFit="1" customWidth="1"/>
    <col min="18" max="18" width="16.28515625" customWidth="1"/>
    <col min="19" max="19" width="39.5703125" bestFit="1" customWidth="1"/>
    <col min="20" max="20" width="38.85546875" bestFit="1" customWidth="1"/>
    <col min="21" max="21" width="27.140625" bestFit="1" customWidth="1"/>
    <col min="22" max="22" width="43.28515625" bestFit="1" customWidth="1"/>
    <col min="23" max="26" width="30.42578125" customWidth="1"/>
    <col min="27" max="27" width="35.85546875" customWidth="1"/>
  </cols>
  <sheetData>
    <row r="1" spans="1:3" x14ac:dyDescent="0.25">
      <c r="A1" s="1" t="s">
        <v>45</v>
      </c>
      <c r="B1" s="1" t="s">
        <v>46</v>
      </c>
      <c r="C1" s="33"/>
    </row>
    <row r="2" spans="1:3" x14ac:dyDescent="0.25">
      <c r="A2" t="s">
        <v>14</v>
      </c>
      <c r="B2" t="s">
        <v>2</v>
      </c>
    </row>
    <row r="3" spans="1:3" x14ac:dyDescent="0.25">
      <c r="A3" t="s">
        <v>15</v>
      </c>
      <c r="B3" t="s">
        <v>3</v>
      </c>
    </row>
    <row r="4" spans="1:3" x14ac:dyDescent="0.25">
      <c r="A4" t="s">
        <v>16</v>
      </c>
      <c r="B4" t="s">
        <v>4</v>
      </c>
    </row>
    <row r="5" spans="1:3" x14ac:dyDescent="0.25">
      <c r="A5" t="s">
        <v>17</v>
      </c>
      <c r="B5" t="s">
        <v>5</v>
      </c>
    </row>
    <row r="6" spans="1:3" x14ac:dyDescent="0.25">
      <c r="A6" t="s">
        <v>20</v>
      </c>
      <c r="B6" t="s">
        <v>6</v>
      </c>
    </row>
    <row r="7" spans="1:3" x14ac:dyDescent="0.25">
      <c r="A7" t="s">
        <v>19</v>
      </c>
      <c r="B7" t="s">
        <v>7</v>
      </c>
    </row>
    <row r="8" spans="1:3" x14ac:dyDescent="0.25">
      <c r="A8" t="s">
        <v>18</v>
      </c>
      <c r="B8" t="s">
        <v>8</v>
      </c>
    </row>
    <row r="9" spans="1:3" x14ac:dyDescent="0.25">
      <c r="A9" t="s">
        <v>0</v>
      </c>
      <c r="B9" t="s">
        <v>1</v>
      </c>
    </row>
    <row r="10" spans="1:3" x14ac:dyDescent="0.25">
      <c r="A10" t="s">
        <v>59</v>
      </c>
      <c r="B10" t="s">
        <v>60</v>
      </c>
    </row>
    <row r="11" spans="1:3" x14ac:dyDescent="0.25">
      <c r="A11" t="s">
        <v>104</v>
      </c>
      <c r="B11" t="s">
        <v>64</v>
      </c>
    </row>
    <row r="12" spans="1:3" x14ac:dyDescent="0.25">
      <c r="A12" t="s">
        <v>103</v>
      </c>
      <c r="B12" t="s">
        <v>63</v>
      </c>
    </row>
    <row r="13" spans="1:3" x14ac:dyDescent="0.25">
      <c r="A13" t="s">
        <v>105</v>
      </c>
      <c r="B13" t="s">
        <v>65</v>
      </c>
    </row>
    <row r="14" spans="1:3" x14ac:dyDescent="0.25">
      <c r="A14" t="s">
        <v>106</v>
      </c>
      <c r="B14" t="s">
        <v>70</v>
      </c>
    </row>
    <row r="15" spans="1:3" x14ac:dyDescent="0.25">
      <c r="A15" t="s">
        <v>127</v>
      </c>
      <c r="B15" t="s">
        <v>119</v>
      </c>
    </row>
    <row r="17" spans="1:27" x14ac:dyDescent="0.25">
      <c r="B17" s="32"/>
      <c r="C17" s="28"/>
    </row>
    <row r="18" spans="1:27" x14ac:dyDescent="0.25">
      <c r="A18" s="1" t="s">
        <v>47</v>
      </c>
    </row>
    <row r="19" spans="1:27" x14ac:dyDescent="0.25">
      <c r="A19" s="7" t="s">
        <v>48</v>
      </c>
      <c r="B19" s="8" t="s">
        <v>49</v>
      </c>
      <c r="C19" s="34" t="s">
        <v>120</v>
      </c>
      <c r="D19" s="2" t="s">
        <v>29</v>
      </c>
      <c r="E19" s="2" t="s">
        <v>30</v>
      </c>
      <c r="F19" s="2" t="s">
        <v>32</v>
      </c>
      <c r="G19" s="2" t="s">
        <v>34</v>
      </c>
      <c r="H19" s="2" t="s">
        <v>35</v>
      </c>
      <c r="I19" s="2" t="s">
        <v>38</v>
      </c>
      <c r="J19" s="2" t="s">
        <v>40</v>
      </c>
      <c r="K19" s="2" t="s">
        <v>42</v>
      </c>
      <c r="L19" s="2" t="s">
        <v>44</v>
      </c>
      <c r="M19" s="2" t="s">
        <v>9</v>
      </c>
      <c r="N19" s="2" t="s">
        <v>11</v>
      </c>
      <c r="O19" s="2" t="s">
        <v>12</v>
      </c>
      <c r="P19" s="2" t="s">
        <v>13</v>
      </c>
      <c r="Q19" s="2" t="s">
        <v>50</v>
      </c>
      <c r="R19" s="2" t="s">
        <v>51</v>
      </c>
      <c r="S19" s="2" t="s">
        <v>52</v>
      </c>
      <c r="T19" s="2" t="s">
        <v>112</v>
      </c>
      <c r="U19" s="2" t="s">
        <v>113</v>
      </c>
      <c r="V19" s="2" t="s">
        <v>54</v>
      </c>
      <c r="W19" s="2" t="s">
        <v>56</v>
      </c>
      <c r="X19" s="2" t="s">
        <v>86</v>
      </c>
      <c r="Y19" s="2" t="s">
        <v>123</v>
      </c>
      <c r="Z19" s="2" t="s">
        <v>85</v>
      </c>
      <c r="AA19" s="2" t="s">
        <v>58</v>
      </c>
    </row>
    <row r="20" spans="1:27" x14ac:dyDescent="0.25">
      <c r="A20" s="3" t="s">
        <v>22</v>
      </c>
      <c r="B20" s="4" t="s">
        <v>21</v>
      </c>
      <c r="C20" s="25" t="s">
        <v>126</v>
      </c>
      <c r="D20" t="s">
        <v>27</v>
      </c>
      <c r="E20" t="s">
        <v>28</v>
      </c>
      <c r="F20" s="9" t="s">
        <v>31</v>
      </c>
      <c r="G20" t="s">
        <v>33</v>
      </c>
      <c r="H20" s="9" t="s">
        <v>36</v>
      </c>
      <c r="I20" s="9" t="s">
        <v>37</v>
      </c>
      <c r="J20" s="9" t="s">
        <v>39</v>
      </c>
      <c r="K20" t="s">
        <v>41</v>
      </c>
      <c r="L20" t="s">
        <v>43</v>
      </c>
      <c r="M20" t="s">
        <v>23</v>
      </c>
      <c r="N20" t="s">
        <v>24</v>
      </c>
      <c r="O20" t="s">
        <v>25</v>
      </c>
      <c r="P20" t="s">
        <v>26</v>
      </c>
      <c r="Q20" t="s">
        <v>62</v>
      </c>
      <c r="R20" t="e">
        <f>IF(E20&gt;0,IF(E20="Unit",CONCATENATE(Settings!Q20," ",Settings!E20,"s"),CONCATENATE((Settings!Q20/Settings!M20)," ",Settings!E20,"s")),"")</f>
        <v>#VALUE!</v>
      </c>
      <c r="S20" s="35" t="s">
        <v>53</v>
      </c>
      <c r="T20" s="35" t="s">
        <v>128</v>
      </c>
      <c r="U20" s="35" t="s">
        <v>111</v>
      </c>
      <c r="V20" t="s">
        <v>55</v>
      </c>
      <c r="W20" t="s">
        <v>61</v>
      </c>
      <c r="X20" t="s">
        <v>122</v>
      </c>
      <c r="Y20" t="s">
        <v>124</v>
      </c>
      <c r="Z20" t="s">
        <v>121</v>
      </c>
      <c r="AA20" t="s">
        <v>57</v>
      </c>
    </row>
    <row r="21" spans="1:27" x14ac:dyDescent="0.25">
      <c r="A21" s="3"/>
      <c r="B21" s="4"/>
      <c r="F21" s="9"/>
      <c r="H21" s="9"/>
      <c r="I21" s="9"/>
      <c r="J21" s="9"/>
      <c r="R21" t="str">
        <f>IF(E21&gt;0,IF(E21="Unit",CONCATENATE(Settings!Q21," ",Settings!E21,"s"),CONCATENATE((Settings!Q21/Settings!M21)," ",Settings!E21,"s")),"")</f>
        <v/>
      </c>
    </row>
    <row r="22" spans="1:27" x14ac:dyDescent="0.25">
      <c r="A22" s="3"/>
      <c r="B22" s="4"/>
      <c r="F22" s="9"/>
      <c r="H22" s="9"/>
      <c r="I22" s="9"/>
      <c r="J22" s="9"/>
      <c r="R22" t="str">
        <f>IF(E22&gt;0,IF(E22="Unit",CONCATENATE(Settings!Q22," ",Settings!E22,"s"),CONCATENATE((Settings!Q22/Settings!M22)," ",Settings!E22,"s")),"")</f>
        <v/>
      </c>
    </row>
    <row r="23" spans="1:27" x14ac:dyDescent="0.25">
      <c r="A23" s="3"/>
      <c r="B23" s="4"/>
      <c r="F23" s="9"/>
      <c r="H23" s="9"/>
      <c r="I23" s="9"/>
      <c r="J23" s="9"/>
      <c r="R23" t="str">
        <f>IF(E23&gt;0,IF(E23="Unit",CONCATENATE(Settings!Q23," ",Settings!E23,"s"),CONCATENATE((Settings!Q23/Settings!M23)," ",Settings!E23,"s")),"")</f>
        <v/>
      </c>
    </row>
    <row r="24" spans="1:27" x14ac:dyDescent="0.25">
      <c r="A24" s="3"/>
      <c r="B24" s="4"/>
      <c r="F24" s="9"/>
      <c r="H24" s="9"/>
      <c r="I24" s="9"/>
      <c r="J24" s="9"/>
      <c r="R24" t="str">
        <f>IF(E24&gt;0,IF(E24="Unit",CONCATENATE(Settings!Q24," ",Settings!E24,"s"),CONCATENATE((Settings!Q24/Settings!M24)," ",Settings!E24,"s")),"")</f>
        <v/>
      </c>
    </row>
    <row r="25" spans="1:27" x14ac:dyDescent="0.25">
      <c r="A25" s="3"/>
      <c r="B25" s="4"/>
      <c r="F25" s="9"/>
      <c r="H25" s="9"/>
      <c r="I25" s="9"/>
      <c r="J25" s="9"/>
      <c r="R25" t="str">
        <f>IF(E25&gt;0,IF(E25="Unit",CONCATENATE(Settings!Q25," ",Settings!E25,"s"),CONCATENATE((Settings!Q25/Settings!M25)," ",Settings!E25,"s")),"")</f>
        <v/>
      </c>
    </row>
    <row r="26" spans="1:27" x14ac:dyDescent="0.25">
      <c r="A26" s="3"/>
      <c r="B26" s="4"/>
      <c r="F26" s="9"/>
      <c r="H26" s="9"/>
      <c r="I26" s="9"/>
      <c r="J26" s="9"/>
      <c r="R26" t="str">
        <f>IF(E26&gt;0,IF(E26="Unit",CONCATENATE(Settings!Q26," ",Settings!E26,"s"),CONCATENATE((Settings!Q26/Settings!M26)," ",Settings!E26,"s")),"")</f>
        <v/>
      </c>
    </row>
    <row r="27" spans="1:27" x14ac:dyDescent="0.25">
      <c r="A27" s="3"/>
      <c r="B27" s="4"/>
      <c r="F27" s="9"/>
      <c r="H27" s="9"/>
      <c r="I27" s="9"/>
      <c r="J27" s="9"/>
      <c r="R27" t="str">
        <f>IF(E27&gt;0,IF(E27="Unit",CONCATENATE(Settings!Q27," ",Settings!E27,"s"),CONCATENATE((Settings!Q27/Settings!M27)," ",Settings!E27,"s")),"")</f>
        <v/>
      </c>
    </row>
    <row r="28" spans="1:27" x14ac:dyDescent="0.25">
      <c r="A28" s="3"/>
      <c r="B28" s="4"/>
      <c r="F28" s="9"/>
      <c r="H28" s="9"/>
      <c r="I28" s="9"/>
      <c r="J28" s="9"/>
      <c r="R28" t="str">
        <f>IF(E28&gt;0,IF(E28="Unit",CONCATENATE(Settings!Q28," ",Settings!E28,"s"),CONCATENATE((Settings!Q28/Settings!M28)," ",Settings!E28,"s")),"")</f>
        <v/>
      </c>
    </row>
    <row r="29" spans="1:27" x14ac:dyDescent="0.25">
      <c r="A29" s="3"/>
      <c r="B29" s="4"/>
      <c r="F29" s="9"/>
      <c r="H29" s="9"/>
      <c r="I29" s="9"/>
      <c r="J29" s="9"/>
      <c r="R29" t="str">
        <f>IF(E29&gt;0,IF(E29="Unit",CONCATENATE(Settings!Q29," ",Settings!E29,"s"),CONCATENATE((Settings!Q29/Settings!M29)," ",Settings!E29,"s")),"")</f>
        <v/>
      </c>
    </row>
    <row r="30" spans="1:27" x14ac:dyDescent="0.25">
      <c r="A30" s="3"/>
      <c r="B30" s="4"/>
      <c r="F30" s="9"/>
      <c r="H30" s="9"/>
      <c r="I30" s="9"/>
      <c r="J30" s="9"/>
      <c r="R30" t="str">
        <f>IF(E30&gt;0,IF(E30="Unit",CONCATENATE(Settings!Q30," ",Settings!E30,"s"),CONCATENATE((Settings!Q30/Settings!M30)," ",Settings!E30,"s")),"")</f>
        <v/>
      </c>
    </row>
    <row r="31" spans="1:27" x14ac:dyDescent="0.25">
      <c r="A31" s="3"/>
      <c r="B31" s="4"/>
      <c r="F31" s="9"/>
      <c r="H31" s="9"/>
      <c r="I31" s="9"/>
      <c r="J31" s="9"/>
      <c r="R31" t="str">
        <f>IF(E31&gt;0,IF(E31="Unit",CONCATENATE(Settings!Q31," ",Settings!E31,"s"),CONCATENATE((Settings!Q31/Settings!M31)," ",Settings!E31,"s")),"")</f>
        <v/>
      </c>
    </row>
    <row r="32" spans="1:27" x14ac:dyDescent="0.25">
      <c r="A32" s="3"/>
      <c r="B32" s="4"/>
      <c r="F32" s="9"/>
      <c r="H32" s="9"/>
      <c r="I32" s="9"/>
      <c r="J32" s="9"/>
      <c r="R32" t="str">
        <f>IF(E32&gt;0,IF(E32="Unit",CONCATENATE(Settings!Q32," ",Settings!E32,"s"),CONCATENATE((Settings!Q32/Settings!M32)," ",Settings!E32,"s")),"")</f>
        <v/>
      </c>
    </row>
    <row r="33" spans="1:18" x14ac:dyDescent="0.25">
      <c r="A33" s="3"/>
      <c r="B33" s="4"/>
      <c r="F33" s="9"/>
      <c r="H33" s="9"/>
      <c r="I33" s="9"/>
      <c r="J33" s="9"/>
      <c r="R33" t="str">
        <f>IF(E33&gt;0,IF(E33="Unit",CONCATENATE(Settings!Q33," ",Settings!E33,"s"),CONCATENATE((Settings!Q33/Settings!M33)," ",Settings!E33,"s")),"")</f>
        <v/>
      </c>
    </row>
    <row r="34" spans="1:18" x14ac:dyDescent="0.25">
      <c r="A34" s="3"/>
      <c r="B34" s="4"/>
      <c r="F34" s="9"/>
      <c r="H34" s="9"/>
      <c r="I34" s="9"/>
      <c r="J34" s="9"/>
      <c r="R34" t="str">
        <f>IF(E34&gt;0,IF(E34="Unit",CONCATENATE(Settings!Q34," ",Settings!E34,"s"),CONCATENATE((Settings!Q34/Settings!M34)," ",Settings!E34,"s")),"")</f>
        <v/>
      </c>
    </row>
    <row r="35" spans="1:18" x14ac:dyDescent="0.25">
      <c r="A35" s="3"/>
      <c r="B35" s="4"/>
      <c r="F35" s="9"/>
      <c r="H35" s="9"/>
      <c r="I35" s="9"/>
      <c r="J35" s="9"/>
      <c r="R35" t="str">
        <f>IF(E35&gt;0,IF(E35="Unit",CONCATENATE(Settings!Q35," ",Settings!E35,"s"),CONCATENATE((Settings!Q35/Settings!M35)," ",Settings!E35,"s")),"")</f>
        <v/>
      </c>
    </row>
    <row r="36" spans="1:18" x14ac:dyDescent="0.25">
      <c r="A36" s="3"/>
      <c r="B36" s="4"/>
      <c r="F36" s="9"/>
      <c r="H36" s="9"/>
      <c r="I36" s="9"/>
      <c r="J36" s="9"/>
      <c r="R36" t="str">
        <f>IF(E36&gt;0,IF(E36="Unit",CONCATENATE(Settings!Q36," ",Settings!E36,"s"),CONCATENATE((Settings!Q36/Settings!M36)," ",Settings!E36,"s")),"")</f>
        <v/>
      </c>
    </row>
    <row r="37" spans="1:18" x14ac:dyDescent="0.25">
      <c r="A37" s="3"/>
      <c r="B37" s="4"/>
      <c r="F37" s="9"/>
      <c r="H37" s="9"/>
      <c r="I37" s="9"/>
      <c r="J37" s="9"/>
      <c r="R37" t="str">
        <f>IF(E37&gt;0,IF(E37="Unit",CONCATENATE(Settings!Q37," ",Settings!E37,"s"),CONCATENATE((Settings!Q37/Settings!M37)," ",Settings!E37,"s")),"")</f>
        <v/>
      </c>
    </row>
    <row r="38" spans="1:18" x14ac:dyDescent="0.25">
      <c r="A38" s="3"/>
      <c r="B38" s="4"/>
      <c r="F38" s="9"/>
      <c r="H38" s="9"/>
      <c r="I38" s="9"/>
      <c r="J38" s="9"/>
      <c r="R38" t="str">
        <f>IF(E38&gt;0,IF(E38="Unit",CONCATENATE(Settings!Q38," ",Settings!E38,"s"),CONCATENATE((Settings!Q38/Settings!M38)," ",Settings!E38,"s")),"")</f>
        <v/>
      </c>
    </row>
    <row r="39" spans="1:18" x14ac:dyDescent="0.25">
      <c r="A39" s="3"/>
      <c r="B39" s="4"/>
      <c r="F39" s="9"/>
      <c r="H39" s="9"/>
      <c r="I39" s="9"/>
      <c r="J39" s="9"/>
      <c r="R39" t="str">
        <f>IF(E39&gt;0,IF(E39="Unit",CONCATENATE(Settings!Q39," ",Settings!E39,"s"),CONCATENATE((Settings!Q39/Settings!M39)," ",Settings!E39,"s")),"")</f>
        <v/>
      </c>
    </row>
    <row r="40" spans="1:18" x14ac:dyDescent="0.25">
      <c r="A40" s="3"/>
      <c r="B40" s="4"/>
      <c r="F40" s="9"/>
      <c r="H40" s="9"/>
      <c r="I40" s="9"/>
      <c r="J40" s="9"/>
      <c r="R40" t="str">
        <f>IF(E40&gt;0,IF(E40="Unit",CONCATENATE(Settings!Q40," ",Settings!E40,"s"),CONCATENATE((Settings!Q40/Settings!M40)," ",Settings!E40,"s")),"")</f>
        <v/>
      </c>
    </row>
    <row r="41" spans="1:18" x14ac:dyDescent="0.25">
      <c r="A41" s="3"/>
      <c r="B41" s="4"/>
      <c r="F41" s="9"/>
      <c r="H41" s="9"/>
      <c r="I41" s="9"/>
      <c r="J41" s="9"/>
      <c r="R41" t="str">
        <f>IF(E41&gt;0,IF(E41="Unit",CONCATENATE(Settings!Q41," ",Settings!E41,"s"),CONCATENATE((Settings!Q41/Settings!M41)," ",Settings!E41,"s")),"")</f>
        <v/>
      </c>
    </row>
    <row r="42" spans="1:18" x14ac:dyDescent="0.25">
      <c r="A42" s="3"/>
      <c r="B42" s="4"/>
      <c r="F42" s="9"/>
      <c r="H42" s="9"/>
      <c r="I42" s="9"/>
      <c r="J42" s="9"/>
      <c r="R42" t="str">
        <f>IF(E42&gt;0,IF(E42="Unit",CONCATENATE(Settings!Q42," ",Settings!E42,"s"),CONCATENATE((Settings!Q42/Settings!M42)," ",Settings!E42,"s")),"")</f>
        <v/>
      </c>
    </row>
    <row r="43" spans="1:18" x14ac:dyDescent="0.25">
      <c r="A43" s="3"/>
      <c r="B43" s="4"/>
      <c r="F43" s="9"/>
      <c r="H43" s="9"/>
      <c r="I43" s="9"/>
      <c r="J43" s="9"/>
      <c r="R43" t="str">
        <f>IF(E43&gt;0,IF(E43="Unit",CONCATENATE(Settings!Q43," ",Settings!E43,"s"),CONCATENATE((Settings!Q43/Settings!M43)," ",Settings!E43,"s")),"")</f>
        <v/>
      </c>
    </row>
    <row r="44" spans="1:18" x14ac:dyDescent="0.25">
      <c r="A44" s="3"/>
      <c r="B44" s="4"/>
      <c r="F44" s="9"/>
      <c r="H44" s="9"/>
      <c r="I44" s="9"/>
      <c r="J44" s="9"/>
      <c r="R44" t="str">
        <f>IF(E44&gt;0,IF(E44="Unit",CONCATENATE(Settings!Q44," ",Settings!E44,"s"),CONCATENATE((Settings!Q44/Settings!M44)," ",Settings!E44,"s")),"")</f>
        <v/>
      </c>
    </row>
    <row r="45" spans="1:18" x14ac:dyDescent="0.25">
      <c r="A45" s="3"/>
      <c r="B45" s="4"/>
      <c r="F45" s="9"/>
      <c r="H45" s="9"/>
      <c r="I45" s="9"/>
      <c r="J45" s="9"/>
      <c r="R45" t="str">
        <f>IF(E45&gt;0,IF(E45="Unit",CONCATENATE(Settings!Q45," ",Settings!E45,"s"),CONCATENATE((Settings!Q45/Settings!M45)," ",Settings!E45,"s")),"")</f>
        <v/>
      </c>
    </row>
    <row r="46" spans="1:18" x14ac:dyDescent="0.25">
      <c r="A46" s="3"/>
      <c r="B46" s="4"/>
      <c r="F46" s="9"/>
      <c r="H46" s="9"/>
      <c r="I46" s="9"/>
      <c r="J46" s="9"/>
      <c r="R46" t="str">
        <f>IF(E46&gt;0,IF(E46="Unit",CONCATENATE(Settings!Q46," ",Settings!E46,"s"),CONCATENATE((Settings!Q46/Settings!M46)," ",Settings!E46,"s")),"")</f>
        <v/>
      </c>
    </row>
    <row r="47" spans="1:18" x14ac:dyDescent="0.25">
      <c r="A47" s="3"/>
      <c r="B47" s="4"/>
      <c r="F47" s="9"/>
      <c r="H47" s="9"/>
      <c r="I47" s="9"/>
      <c r="J47" s="9"/>
      <c r="R47" t="str">
        <f>IF(E47&gt;0,IF(E47="Unit",CONCATENATE(Settings!Q47," ",Settings!E47,"s"),CONCATENATE((Settings!Q47/Settings!M47)," ",Settings!E47,"s")),"")</f>
        <v/>
      </c>
    </row>
    <row r="48" spans="1:18" x14ac:dyDescent="0.25">
      <c r="A48" s="3"/>
      <c r="B48" s="4"/>
      <c r="F48" s="9"/>
      <c r="H48" s="9"/>
      <c r="I48" s="9"/>
      <c r="J48" s="9"/>
      <c r="R48" t="str">
        <f>IF(E48&gt;0,IF(E48="Unit",CONCATENATE(Settings!Q48," ",Settings!E48,"s"),CONCATENATE((Settings!Q48/Settings!M48)," ",Settings!E48,"s")),"")</f>
        <v/>
      </c>
    </row>
    <row r="49" spans="1:18" x14ac:dyDescent="0.25">
      <c r="A49" s="3"/>
      <c r="B49" s="4"/>
      <c r="F49" s="9"/>
      <c r="H49" s="9"/>
      <c r="I49" s="9"/>
      <c r="J49" s="9"/>
      <c r="R49" t="str">
        <f>IF(E49&gt;0,IF(E49="Unit",CONCATENATE(Settings!Q49," ",Settings!E49,"s"),CONCATENATE((Settings!Q49/Settings!M49)," ",Settings!E49,"s")),"")</f>
        <v/>
      </c>
    </row>
    <row r="50" spans="1:18" x14ac:dyDescent="0.25">
      <c r="A50" s="3"/>
      <c r="B50" s="4"/>
      <c r="F50" s="9"/>
      <c r="H50" s="9"/>
      <c r="I50" s="9"/>
      <c r="J50" s="9"/>
      <c r="R50" t="str">
        <f>IF(E50&gt;0,IF(E50="Unit",CONCATENATE(Settings!Q50," ",Settings!E50,"s"),CONCATENATE((Settings!Q50/Settings!M50)," ",Settings!E50,"s")),"")</f>
        <v/>
      </c>
    </row>
    <row r="51" spans="1:18" x14ac:dyDescent="0.25">
      <c r="A51" s="3"/>
      <c r="B51" s="4"/>
      <c r="F51" s="9"/>
      <c r="H51" s="9"/>
      <c r="I51" s="9"/>
      <c r="J51" s="9"/>
      <c r="R51" t="str">
        <f>IF(E51&gt;0,IF(E51="Unit",CONCATENATE(Settings!Q51," ",Settings!E51,"s"),CONCATENATE((Settings!Q51/Settings!M51)," ",Settings!E51,"s")),"")</f>
        <v/>
      </c>
    </row>
    <row r="52" spans="1:18" x14ac:dyDescent="0.25">
      <c r="A52" s="3"/>
      <c r="B52" s="4"/>
      <c r="F52" s="9"/>
      <c r="H52" s="9"/>
      <c r="I52" s="9"/>
      <c r="J52" s="9"/>
      <c r="R52" t="str">
        <f>IF(E52&gt;0,IF(E52="Unit",CONCATENATE(Settings!Q52," ",Settings!E52,"s"),CONCATENATE((Settings!Q52/Settings!M52)," ",Settings!E52,"s")),"")</f>
        <v/>
      </c>
    </row>
    <row r="53" spans="1:18" x14ac:dyDescent="0.25">
      <c r="A53" s="3"/>
      <c r="B53" s="4"/>
      <c r="F53" s="9"/>
      <c r="H53" s="9"/>
      <c r="I53" s="9"/>
      <c r="J53" s="9"/>
      <c r="R53" t="str">
        <f>IF(E53&gt;0,IF(E53="Unit",CONCATENATE(Settings!Q53," ",Settings!E53,"s"),CONCATENATE((Settings!Q53/Settings!M53)," ",Settings!E53,"s")),"")</f>
        <v/>
      </c>
    </row>
    <row r="54" spans="1:18" x14ac:dyDescent="0.25">
      <c r="A54" s="5"/>
      <c r="B54" s="6"/>
      <c r="F54" s="9"/>
      <c r="H54" s="9"/>
      <c r="I54" s="9"/>
      <c r="J54" s="9"/>
      <c r="R54" t="str">
        <f>IF(E54&gt;0,IF(E54="Unit",CONCATENATE(Settings!Q54," ",Settings!E54,"s"),CONCATENATE((Settings!Q54/Settings!M54)," ",Settings!E54,"s")),"")</f>
        <v/>
      </c>
    </row>
  </sheetData>
  <pageMargins left="0.7" right="0.7" top="0.75" bottom="0.75" header="0.3" footer="0.3"/>
  <pageSetup paperSize="9" orientation="portrait" horizontalDpi="4294967294" r:id="rId1"/>
  <headerFooter>
    <oddFooter>&amp;R_x000D_&amp;1#&amp;"Calibri"&amp;22&amp;KFF8939 RESTRICTED</oddFooter>
  </headerFooter>
  <tableParts count="2"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44eecc-14bb-4066-abe6-ce6de21d9439">
      <UserInfo>
        <DisplayName/>
        <AccountId xsi:nil="true"/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5F372E8CCA016418A193AD921508903" ma:contentTypeVersion="9" ma:contentTypeDescription="Create a new document." ma:contentTypeScope="" ma:versionID="f5e922417d740f1a527805650dc2dfa9">
  <xsd:schema xmlns:xsd="http://www.w3.org/2001/XMLSchema" xmlns:xs="http://www.w3.org/2001/XMLSchema" xmlns:p="http://schemas.microsoft.com/office/2006/metadata/properties" xmlns:ns2="399317f3-0083-4d0b-9572-12af99626311" xmlns:ns3="1444eecc-14bb-4066-abe6-ce6de21d9439" targetNamespace="http://schemas.microsoft.com/office/2006/metadata/properties" ma:root="true" ma:fieldsID="078d79524add6eac9b94134ca637184e" ns2:_="" ns3:_="">
    <xsd:import namespace="399317f3-0083-4d0b-9572-12af99626311"/>
    <xsd:import namespace="1444eecc-14bb-4066-abe6-ce6de21d943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99317f3-0083-4d0b-9572-12af9962631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44eecc-14bb-4066-abe6-ce6de21d9439" elementFormDefault="qualified">
    <xsd:import namespace="http://schemas.microsoft.com/office/2006/documentManagement/types"/>
    <xsd:import namespace="http://schemas.microsoft.com/office/infopath/2007/PartnerControls"/>
    <xsd:element name="SharedWithUsers" ma:index="14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5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EBE950A-5812-419E-B174-6A5D9B8E0414}">
  <ds:schemaRefs>
    <ds:schemaRef ds:uri="http://schemas.microsoft.com/office/2006/metadata/properties"/>
    <ds:schemaRef ds:uri="http://schemas.microsoft.com/office/infopath/2007/PartnerControls"/>
    <ds:schemaRef ds:uri="1444eecc-14bb-4066-abe6-ce6de21d9439"/>
  </ds:schemaRefs>
</ds:datastoreItem>
</file>

<file path=customXml/itemProps2.xml><?xml version="1.0" encoding="utf-8"?>
<ds:datastoreItem xmlns:ds="http://schemas.openxmlformats.org/officeDocument/2006/customXml" ds:itemID="{4A00E6A9-20DD-4842-9306-307EB080AF2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CF88A1C-AA0D-4F8F-A0FD-6F3FAFCA9D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99317f3-0083-4d0b-9572-12af99626311"/>
    <ds:schemaRef ds:uri="1444eecc-14bb-4066-abe6-ce6de21d943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Quotation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Lemaire Wouter</dc:creator>
  <cp:lastModifiedBy>Kosal Kirthiga</cp:lastModifiedBy>
  <cp:lastPrinted>2021-06-03T08:52:36Z</cp:lastPrinted>
  <dcterms:created xsi:type="dcterms:W3CDTF">2021-05-14T05:44:12Z</dcterms:created>
  <dcterms:modified xsi:type="dcterms:W3CDTF">2023-12-22T10:58:10Z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Order">
    <vt:r8>14163000</vt:r8>
  </property>
  <property fmtid="{D5CDD505-2E9C-101B-9397-08002B2CF9AE}" pid="3" name="ContentTypeId">
    <vt:lpwstr>0x01010075F372E8CCA016418A193AD921508903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MSIP_Label_2c76c141-ac86-40e5-abf2-c6f60e474cee_Enabled">
    <vt:lpwstr>true</vt:lpwstr>
  </property>
  <property fmtid="{D5CDD505-2E9C-101B-9397-08002B2CF9AE}" pid="7" name="MSIP_Label_2c76c141-ac86-40e5-abf2-c6f60e474cee_SetDate">
    <vt:lpwstr>2023-09-28T08:40:02Z</vt:lpwstr>
  </property>
  <property fmtid="{D5CDD505-2E9C-101B-9397-08002B2CF9AE}" pid="8" name="MSIP_Label_2c76c141-ac86-40e5-abf2-c6f60e474cee_Method">
    <vt:lpwstr>Standard</vt:lpwstr>
  </property>
  <property fmtid="{D5CDD505-2E9C-101B-9397-08002B2CF9AE}" pid="9" name="MSIP_Label_2c76c141-ac86-40e5-abf2-c6f60e474cee_Name">
    <vt:lpwstr>2c76c141-ac86-40e5-abf2-c6f60e474cee</vt:lpwstr>
  </property>
  <property fmtid="{D5CDD505-2E9C-101B-9397-08002B2CF9AE}" pid="10" name="MSIP_Label_2c76c141-ac86-40e5-abf2-c6f60e474cee_SiteId">
    <vt:lpwstr>fcb2b37b-5da0-466b-9b83-0014b67a7c78</vt:lpwstr>
  </property>
  <property fmtid="{D5CDD505-2E9C-101B-9397-08002B2CF9AE}" pid="11" name="MSIP_Label_2c76c141-ac86-40e5-abf2-c6f60e474cee_ActionId">
    <vt:lpwstr>88ecdeda-a8e8-499c-ab36-7f15318fb843</vt:lpwstr>
  </property>
  <property fmtid="{D5CDD505-2E9C-101B-9397-08002B2CF9AE}" pid="12" name="MSIP_Label_2c76c141-ac86-40e5-abf2-c6f60e474cee_ContentBits">
    <vt:lpwstr>2</vt:lpwstr>
  </property>
</Properties>
</file>