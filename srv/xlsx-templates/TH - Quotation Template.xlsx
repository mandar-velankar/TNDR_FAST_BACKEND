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EHQUT\Desktop\Thailand Template\"/>
    </mc:Choice>
  </mc:AlternateContent>
  <xr:revisionPtr revIDLastSave="0" documentId="13_ncr:1_{73333E37-04FD-4197-8192-532B6D370846}" xr6:coauthVersionLast="47" xr6:coauthVersionMax="47" xr10:uidLastSave="{00000000-0000-0000-0000-000000000000}"/>
  <bookViews>
    <workbookView xWindow="-120" yWindow="-120" windowWidth="20730" windowHeight="11160" xr2:uid="{F5CC2154-27BB-4652-B61E-D913F0CC6809}"/>
  </bookViews>
  <sheets>
    <sheet name="Quotation" sheetId="3" r:id="rId1"/>
    <sheet name="Sett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D11" i="3"/>
  <c r="D12" i="3"/>
  <c r="K3" i="3"/>
  <c r="C4" i="3"/>
  <c r="K11" i="3"/>
  <c r="Q18" i="2" l="1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</calcChain>
</file>

<file path=xl/sharedStrings.xml><?xml version="1.0" encoding="utf-8"?>
<sst xmlns="http://schemas.openxmlformats.org/spreadsheetml/2006/main" count="138" uniqueCount="115">
  <si>
    <t>${offerValidation.INSTITUTENAME}</t>
  </si>
  <si>
    <t>Offer Party</t>
  </si>
  <si>
    <t>Contract Number</t>
  </si>
  <si>
    <t>Tender Reference</t>
  </si>
  <si>
    <t>Offer Date</t>
  </si>
  <si>
    <t>Offer Validity</t>
  </si>
  <si>
    <t>Shipment Terms</t>
  </si>
  <si>
    <t>Payment Terms</t>
  </si>
  <si>
    <t>Delivery Terms</t>
  </si>
  <si>
    <t>Pack Factor</t>
  </si>
  <si>
    <t>MSP</t>
  </si>
  <si>
    <t>Samples</t>
  </si>
  <si>
    <t>Origin</t>
  </si>
  <si>
    <t>FOC</t>
  </si>
  <si>
    <t>NSP</t>
  </si>
  <si>
    <t>${offerValidation.OFFERID}</t>
  </si>
  <si>
    <t>${offerValidation.TENDERID}</t>
  </si>
  <si>
    <t>${offerValidation.OFFERDATE}</t>
  </si>
  <si>
    <t>${offerValidation.OFFERVALIDITY}</t>
  </si>
  <si>
    <t>${offerValidation.DELIVERYTERMS}</t>
  </si>
  <si>
    <t>${offerValidation.PAYMENTTERMS}</t>
  </si>
  <si>
    <t>${offerValidation.SHIPMENTTERMS}</t>
  </si>
  <si>
    <t>${table:offerProductValidation.SKU}</t>
  </si>
  <si>
    <t>${table:offerProductValidation.PACKSIZE}</t>
  </si>
  <si>
    <t>${table:offerProductValidation.SAMPLES}</t>
  </si>
  <si>
    <t>${table:offerProductValidation.COUNTRYOFORIGIN}</t>
  </si>
  <si>
    <t>${table:offerProductValidation.FOC}</t>
  </si>
  <si>
    <t>${table:offerProductValidation.PAID_VOLUME}</t>
  </si>
  <si>
    <t>${table:offerProductValidation.UNIT}</t>
  </si>
  <si>
    <t>PAID VOLUME</t>
  </si>
  <si>
    <t>UNIT</t>
  </si>
  <si>
    <t>${table:offerProductValidation.OFFER_PRICE}</t>
  </si>
  <si>
    <t>OFFER PRICE</t>
  </si>
  <si>
    <t>${table:offerProductValidation.CURRENCY}</t>
  </si>
  <si>
    <t>CURRENCY</t>
  </si>
  <si>
    <t>OFFER_PRICE_VAT</t>
  </si>
  <si>
    <t>${table:offerProductValidation.OFFER_PRICE_VAT}</t>
  </si>
  <si>
    <t>${table:offerProductValidation.GROSS_SALES_OFFER_CURRENCY}</t>
  </si>
  <si>
    <t>GROSS SALES OFFER CURRENCY</t>
  </si>
  <si>
    <t>${table:offerProductValidation.GROSS_SALES_OFFER_CURRENCY_VAT}</t>
  </si>
  <si>
    <t>GROSS_SALES_OFFER_CURRENCY_VAT</t>
  </si>
  <si>
    <t>${table:offerProductValidation.OFFER_ID}</t>
  </si>
  <si>
    <t>OFFER_ID</t>
  </si>
  <si>
    <t>${table:offerProductValidation.SORTER}</t>
  </si>
  <si>
    <t>SORTER</t>
  </si>
  <si>
    <t>Header fields</t>
  </si>
  <si>
    <t>Description</t>
  </si>
  <si>
    <t>Product table fields</t>
  </si>
  <si>
    <t>SKU CODE</t>
  </si>
  <si>
    <t>Article name</t>
  </si>
  <si>
    <t>Total Quantity Units</t>
  </si>
  <si>
    <t>Total QTY</t>
  </si>
  <si>
    <t>Net Price</t>
  </si>
  <si>
    <t>${table:offerProductValidation.NET_PRICE}</t>
  </si>
  <si>
    <t>Amount in numbers</t>
  </si>
  <si>
    <t>${offerValidation.AMOUNT_IN_NUMBERS}</t>
  </si>
  <si>
    <t>VAT total</t>
  </si>
  <si>
    <t>${offerValidation.AMOUNT_IN_NUMBERS_VAT}</t>
  </si>
  <si>
    <t>Amount in numbers vat</t>
  </si>
  <si>
    <t>${offerValidation.PROCUREMENT_REASON}</t>
  </si>
  <si>
    <t>Procurement reason</t>
  </si>
  <si>
    <t>${offerValidation.VAT_TOTAL}</t>
  </si>
  <si>
    <t>${table:offerProductValidation.TOTAL_QUANTITY_UNITS}</t>
  </si>
  <si>
    <t>Offered Party</t>
  </si>
  <si>
    <t>Selling Company</t>
  </si>
  <si>
    <t>Address</t>
  </si>
  <si>
    <t>Quotation Request Information</t>
  </si>
  <si>
    <t>FAST Request ID</t>
  </si>
  <si>
    <t>Material Group</t>
  </si>
  <si>
    <t>Requestor Name</t>
  </si>
  <si>
    <t>Customer ID</t>
  </si>
  <si>
    <t>Offer Approval Date</t>
  </si>
  <si>
    <t>Contact Information</t>
  </si>
  <si>
    <t>Customer Name</t>
  </si>
  <si>
    <t>Bayer Representative</t>
  </si>
  <si>
    <t>Price Quotation</t>
  </si>
  <si>
    <t>No.</t>
  </si>
  <si>
    <t>Material Code</t>
  </si>
  <si>
    <t>Product Name</t>
  </si>
  <si>
    <t>Product Generic Name</t>
  </si>
  <si>
    <t>Offer QTY 
/UoM</t>
  </si>
  <si>
    <t>Unit Dosge</t>
  </si>
  <si>
    <t>FOC/
Discount</t>
  </si>
  <si>
    <t>excl. vat.</t>
  </si>
  <si>
    <t>incl. vat.</t>
  </si>
  <si>
    <t>Product Offer Information</t>
  </si>
  <si>
    <t>Offer Pack Description</t>
  </si>
  <si>
    <t>TPU</t>
  </si>
  <si>
    <t>GPU</t>
  </si>
  <si>
    <t>THCC 
(24 Digit Code)</t>
  </si>
  <si>
    <t>Manufacturer</t>
  </si>
  <si>
    <t>Country of Origin</t>
  </si>
  <si>
    <t>Customer Request Information</t>
  </si>
  <si>
    <t>Quotation Delivery Channels</t>
  </si>
  <si>
    <t>Receiver Information (Name, Phone, Address and/or Email)</t>
  </si>
  <si>
    <t>Quotation Date (วันที่)</t>
  </si>
  <si>
    <t>DKSH Quotation Office</t>
  </si>
  <si>
    <t>Attention to (เรียน)</t>
  </si>
  <si>
    <t>Send to Bayer</t>
  </si>
  <si>
    <t>Validity Period (กำหนดยืนราคา)</t>
  </si>
  <si>
    <t>years (ปี)</t>
  </si>
  <si>
    <t>Email/ Fax</t>
  </si>
  <si>
    <t>Delivery Due (กำหนดส่งสินค้า)</t>
  </si>
  <si>
    <t>Send to Customer</t>
  </si>
  <si>
    <t>Remarks</t>
  </si>
  <si>
    <t>With reference to the above tender, you must not on-sell the above mentioned products at a price higher than those listed above. However, you are always free to sell at a price lower, at your discretion.</t>
  </si>
  <si>
    <t>Approved by</t>
  </si>
  <si>
    <t>Name</t>
  </si>
  <si>
    <t>Position</t>
  </si>
  <si>
    <t>${offerValidation.SELLINGCOMPANY}</t>
  </si>
  <si>
    <t>${offerValidation.DISTRIBUTORNAME}</t>
  </si>
  <si>
    <t>${offerValidation.DISTRIBUTORADDRESS}</t>
  </si>
  <si>
    <t>${table:offerProductValidation.PRODUCTNAME}</t>
  </si>
  <si>
    <t>${table:offerProductValidation.PAID_VOLUME} / ${table:offerProductValidation.UNIT}</t>
  </si>
  <si>
    <t>${offerValidation.CUSTOMER_CODE}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</si>
</sst>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.###\.###.00"/>
  </numFmts>
  <fonts count="1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sz val="10"/>
      <color theme="8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2" borderId="1" xfId="0" applyFont="1" applyFill="1" applyBorder="1"/>
    <xf numFmtId="0" fontId="3" fillId="2" borderId="2" xfId="0" applyFont="1" applyFill="1" applyBorder="1"/>
    <xf numFmtId="16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5" fillId="4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43" fontId="5" fillId="0" borderId="5" xfId="1" applyFont="1" applyBorder="1"/>
    <xf numFmtId="43" fontId="5" fillId="0" borderId="5" xfId="1" applyFont="1" applyFill="1" applyBorder="1"/>
    <xf numFmtId="9" fontId="5" fillId="0" borderId="5" xfId="2" applyFont="1" applyBorder="1"/>
    <xf numFmtId="0" fontId="5" fillId="0" borderId="5" xfId="0" applyFont="1" applyBorder="1"/>
    <xf numFmtId="0" fontId="8" fillId="0" borderId="0" xfId="0" applyFont="1"/>
    <xf numFmtId="0" fontId="7" fillId="0" borderId="0" xfId="0" applyFont="1" applyAlignment="1">
      <alignment vertical="center"/>
    </xf>
    <xf numFmtId="0" fontId="11" fillId="4" borderId="5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11" fillId="0" borderId="5" xfId="0" applyFont="1" applyBorder="1"/>
    <xf numFmtId="0" fontId="11" fillId="4" borderId="5" xfId="0" applyFont="1" applyFill="1" applyBorder="1"/>
    <xf numFmtId="0" fontId="5" fillId="4" borderId="5" xfId="0" applyFont="1" applyFill="1" applyBorder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9" fillId="0" borderId="0" xfId="0" applyFont="1"/>
    <xf numFmtId="0" fontId="9" fillId="4" borderId="6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6" fillId="5" borderId="5" xfId="0" applyFont="1" applyFill="1" applyBorder="1" applyAlignment="1">
      <alignment vertical="top"/>
    </xf>
    <xf numFmtId="0" fontId="6" fillId="3" borderId="6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6" fillId="4" borderId="12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13" fillId="0" borderId="0" xfId="0" applyFont="1"/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top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center"/>
    </xf>
    <xf numFmtId="49" fontId="5" fillId="0" borderId="10" xfId="0" applyNumberFormat="1" applyFont="1" applyBorder="1" applyAlignment="1">
      <alignment horizontal="left" vertical="top"/>
    </xf>
    <xf numFmtId="49" fontId="5" fillId="0" borderId="17" xfId="0" applyNumberFormat="1" applyFont="1" applyBorder="1" applyAlignment="1">
      <alignment horizontal="left" vertical="top"/>
    </xf>
    <xf numFmtId="49" fontId="5" fillId="0" borderId="11" xfId="0" applyNumberFormat="1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left" vertical="top"/>
    </xf>
    <xf numFmtId="0" fontId="5" fillId="0" borderId="5" xfId="0" applyFont="1" applyBorder="1" applyAlignment="1">
      <alignment horizontal="center" vertical="top"/>
    </xf>
    <xf numFmtId="0" fontId="6" fillId="3" borderId="5" xfId="0" applyFont="1" applyFill="1" applyBorder="1" applyAlignment="1">
      <alignment horizontal="left" vertical="top"/>
    </xf>
    <xf numFmtId="0" fontId="12" fillId="0" borderId="5" xfId="0" applyFont="1" applyBorder="1" applyAlignment="1">
      <alignment horizontal="left" vertical="top" wrapText="1"/>
    </xf>
    <xf numFmtId="0" fontId="7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6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0" fillId="4" borderId="6" xfId="0" applyFont="1" applyFill="1" applyBorder="1" applyAlignment="1">
      <alignment horizontal="left" vertical="top"/>
    </xf>
    <xf numFmtId="0" fontId="10" fillId="4" borderId="8" xfId="0" applyFont="1" applyFill="1" applyBorder="1" applyAlignment="1">
      <alignment horizontal="left" vertical="top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left" vertical="top"/>
    </xf>
    <xf numFmtId="0" fontId="6" fillId="4" borderId="8" xfId="0" applyFont="1" applyFill="1" applyBorder="1" applyAlignment="1">
      <alignment horizontal="left" vertical="top"/>
    </xf>
    <xf numFmtId="0" fontId="10" fillId="4" borderId="6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7" fillId="5" borderId="13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0" fillId="0" borderId="5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7">
    <dxf>
      <numFmt numFmtId="0" formatCode="General"/>
    </dxf>
    <dxf>
      <numFmt numFmtId="164" formatCode="#\.###\.###.00"/>
    </dxf>
    <dxf>
      <numFmt numFmtId="164" formatCode="#\.###\.###.00"/>
    </dxf>
    <dxf>
      <numFmt numFmtId="164" formatCode="#\.###\.###.00"/>
    </dxf>
    <dxf>
      <numFmt numFmtId="164" formatCode="#\.###\.###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482600</xdr:colOff>
      <xdr:row>1</xdr:row>
      <xdr:rowOff>101600</xdr:rowOff>
    </xdr:from>
    <xdr:to>
      <xdr:col>16</xdr:col>
      <xdr:colOff>458098</xdr:colOff>
      <xdr:row>4</xdr:row>
      <xdr:rowOff>100462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850F2-A92E-4910-A645-FF78E9FA7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0050" y="101600"/>
          <a:ext cx="585098" cy="570362"/>
        </a:xfrm>
        <a:prstGeom prst="rect">
          <a:avLst/>
        </a:prstGeom>
      </xdr:spPr>
    </xdr:pic>
    <xdr:clientData/>
  </xdr:twoCellAnchor>
  <xdr:twoCellAnchor editAs="oneCell">
    <xdr:from>
      <xdr:col>8</xdr:col>
      <xdr:colOff>24880</xdr:colOff>
      <xdr:row>36</xdr:row>
      <xdr:rowOff>7997</xdr:rowOff>
    </xdr:from>
    <xdr:to>
      <xdr:col>9</xdr:col>
      <xdr:colOff>790842</xdr:colOff>
      <xdr:row>40</xdr:row>
      <xdr:rowOff>19691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1CDDEB-371C-4DF3-A3BA-E535456AD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8355" y="5675372"/>
          <a:ext cx="1519495" cy="7736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DC07E-0020-4B51-98A2-ADA62A91E75D}" name="Tabel1" displayName="Tabel1" ref="A1:B14" totalsRowShown="0" headerRowDxfId="6">
  <autoFilter ref="A1:B14" xr:uid="{5B6DC07E-0020-4B51-98A2-ADA62A91E75D}"/>
  <tableColumns count="2">
    <tableColumn id="1" xr3:uid="{22EAB7A2-53F9-497F-A4B5-CA34E48AC441}" name="Header fields"/>
    <tableColumn id="2" xr3:uid="{331DD14B-B263-41D9-B2C5-D198B6F2436E}" name="Description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FFBCB4-83C9-46C5-9D10-EDD296E322D9}" name="Tabel2" displayName="Tabel2" ref="C17:U52" totalsRowShown="0" headerRowDxfId="5">
  <autoFilter ref="C17:U52" xr:uid="{2EFFBCB4-83C9-46C5-9D10-EDD296E322D9}"/>
  <tableColumns count="19">
    <tableColumn id="1" xr3:uid="{6E1F8ECB-E862-46B4-998C-BE8E89C238BA}" name="PAID VOLUME"/>
    <tableColumn id="2" xr3:uid="{6497AF92-63C8-4790-818D-6E5BE819E8D6}" name="UNIT"/>
    <tableColumn id="3" xr3:uid="{A1E59B72-B459-4BFA-9B37-9736C0F03B7E}" name="OFFER PRICE" dataDxfId="4"/>
    <tableColumn id="4" xr3:uid="{1CB5E955-18ED-4738-ACA1-E270D15916F8}" name="CURRENCY"/>
    <tableColumn id="5" xr3:uid="{77EEA9FC-8FC3-433A-9592-47B0D8B4C67B}" name="OFFER_PRICE_VAT" dataDxfId="3"/>
    <tableColumn id="6" xr3:uid="{38030720-EDB2-473C-9CF5-2E9C926DF088}" name="GROSS SALES OFFER CURRENCY" dataDxfId="2"/>
    <tableColumn id="7" xr3:uid="{A1EAF0A4-B4D5-428E-9D86-C12164DF9888}" name="GROSS_SALES_OFFER_CURRENCY_VAT" dataDxfId="1"/>
    <tableColumn id="8" xr3:uid="{06958303-4A18-40AA-8AD0-9A7EEFDCAF3E}" name="OFFER_ID"/>
    <tableColumn id="9" xr3:uid="{A1218AAF-0481-41A2-9C10-3038D1BF8C7D}" name="SORTER"/>
    <tableColumn id="10" xr3:uid="{5A7FFAC3-1C22-44BF-8C52-F3578967B0F3}" name="Pack Factor"/>
    <tableColumn id="11" xr3:uid="{2D111679-3BB3-4B04-986E-34E61AC9B6D1}" name="Samples"/>
    <tableColumn id="12" xr3:uid="{4A42B0A1-255A-4E7E-955E-674BA8AAA444}" name="Origin"/>
    <tableColumn id="13" xr3:uid="{7D1379AA-4B8F-4BC6-9726-365EBAE15341}" name="FOC"/>
    <tableColumn id="14" xr3:uid="{DF88A36E-0423-48FC-A1FC-B18BF3BA8D1A}" name="Total Quantity Units"/>
    <tableColumn id="15" xr3:uid="{6B128E87-63EB-483B-88D7-EA33600F43AB}" name="Total QTY" dataDxfId="0">
      <calculatedColumnFormula>IF(D18&gt;0,IF(D18="Unit",CONCATENATE(Settings!P18," ",Settings!D18,"s"),CONCATENATE((Settings!P18/Settings!L18)," ",Settings!D18,"s")),"")</calculatedColumnFormula>
    </tableColumn>
    <tableColumn id="16" xr3:uid="{E4D044B6-D053-487A-AA8C-F40FE34F30A7}" name="Net Price"/>
    <tableColumn id="17" xr3:uid="{F95E93A8-C80D-4AC7-9526-72374F546CE7}" name="Amount in numbers"/>
    <tableColumn id="18" xr3:uid="{2DDE85E8-6C8E-4D93-A4E8-1F80D965246B}" name="VAT total"/>
    <tableColumn id="19" xr3:uid="{F55B5874-4E65-4E44-AEFE-7CFF114E939A}" name="Amount in numbers va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ayer 2017">
      <a:dk1>
        <a:srgbClr val="000000"/>
      </a:dk1>
      <a:lt1>
        <a:srgbClr val="FFFFFF"/>
      </a:lt1>
      <a:dk2>
        <a:srgbClr val="FF3162"/>
      </a:dk2>
      <a:lt2>
        <a:srgbClr val="624963"/>
      </a:lt2>
      <a:accent1>
        <a:srgbClr val="10384F"/>
      </a:accent1>
      <a:accent2>
        <a:srgbClr val="00BCFF"/>
      </a:accent2>
      <a:accent3>
        <a:srgbClr val="004422"/>
      </a:accent3>
      <a:accent4>
        <a:srgbClr val="89D329"/>
      </a:accent4>
      <a:accent5>
        <a:srgbClr val="443247"/>
      </a:accent5>
      <a:accent6>
        <a:srgbClr val="D30F4B"/>
      </a:accent6>
      <a:hlink>
        <a:srgbClr val="00BCFF"/>
      </a:hlink>
      <a:folHlink>
        <a:srgbClr val="10384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1999-1CF9-4903-BA7D-DD523B82D6C3}">
  <dimension ref="B2:T44"/>
  <sheetViews>
    <sheetView tabSelected="1" zoomScale="90" zoomScaleNormal="90" workbookViewId="0">
      <selection activeCell="D10" sqref="D10:H10"/>
    </sheetView>
  </sheetViews>
  <sheetFormatPr defaultRowHeight="15" x14ac:dyDescent="0.25"/>
  <cols>
    <col min="2" max="2" width="11.140625" customWidth="1"/>
    <col min="9" max="9" width="11.42578125" customWidth="1"/>
    <col min="10" max="10" width="14" customWidth="1"/>
  </cols>
  <sheetData>
    <row r="2" spans="2:20" x14ac:dyDescent="0.25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2:20" x14ac:dyDescent="0.25">
      <c r="B3" s="35" t="s">
        <v>63</v>
      </c>
      <c r="C3" s="97" t="s">
        <v>110</v>
      </c>
      <c r="D3" s="97"/>
      <c r="E3" s="97"/>
      <c r="F3" s="97"/>
      <c r="G3" s="97"/>
      <c r="H3" s="11"/>
      <c r="I3" s="10"/>
      <c r="J3" s="35" t="s">
        <v>64</v>
      </c>
      <c r="K3" s="97" t="str">
        <f>Settings!A11</f>
        <v>${offerValidation.SELLINGCOMPANY}</v>
      </c>
      <c r="L3" s="97"/>
      <c r="M3" s="97"/>
      <c r="N3" s="97"/>
      <c r="O3" s="10"/>
      <c r="P3" s="10"/>
      <c r="Q3" s="10"/>
    </row>
    <row r="4" spans="2:20" x14ac:dyDescent="0.25">
      <c r="B4" s="35" t="s">
        <v>65</v>
      </c>
      <c r="C4" s="94" t="str">
        <f>Settings!A13</f>
        <v>${offerValidation.DISTRIBUTORADDRESS}</v>
      </c>
      <c r="D4" s="95"/>
      <c r="E4" s="95"/>
      <c r="F4" s="95"/>
      <c r="G4" s="96"/>
      <c r="H4" s="12"/>
      <c r="I4" s="10"/>
      <c r="J4" s="35" t="s">
        <v>65</v>
      </c>
      <c r="K4" s="98"/>
      <c r="L4" s="99"/>
      <c r="M4" s="99"/>
      <c r="N4" s="100"/>
      <c r="O4" s="10"/>
      <c r="P4" s="10"/>
      <c r="Q4" s="10"/>
    </row>
    <row r="5" spans="2:20" x14ac:dyDescent="0.25">
      <c r="B5" s="13"/>
      <c r="C5" s="12"/>
      <c r="D5" s="12"/>
      <c r="E5" s="12"/>
      <c r="F5" s="12"/>
      <c r="G5" s="12"/>
      <c r="H5" s="12"/>
      <c r="I5" s="10"/>
      <c r="J5" s="13"/>
      <c r="K5" s="14"/>
      <c r="L5" s="14"/>
      <c r="M5" s="14"/>
      <c r="N5" s="14"/>
      <c r="O5" s="10"/>
      <c r="P5" s="10"/>
      <c r="Q5" s="10"/>
    </row>
    <row r="6" spans="2:20" x14ac:dyDescent="0.2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2:20" x14ac:dyDescent="0.25">
      <c r="B7" s="102" t="s">
        <v>66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4"/>
    </row>
    <row r="8" spans="2:20" x14ac:dyDescent="0.25">
      <c r="B8" s="101" t="s">
        <v>67</v>
      </c>
      <c r="C8" s="101"/>
      <c r="D8" s="94"/>
      <c r="E8" s="95"/>
      <c r="F8" s="95"/>
      <c r="G8" s="95"/>
      <c r="H8" s="96"/>
      <c r="I8" s="105" t="s">
        <v>68</v>
      </c>
      <c r="J8" s="106"/>
      <c r="K8" s="49"/>
      <c r="L8" s="50"/>
      <c r="M8" s="50"/>
      <c r="N8" s="51"/>
      <c r="O8" s="33" t="s">
        <v>69</v>
      </c>
      <c r="P8" s="34"/>
      <c r="Q8" s="48"/>
      <c r="R8" s="48"/>
      <c r="S8" s="48"/>
    </row>
    <row r="9" spans="2:20" x14ac:dyDescent="0.25">
      <c r="B9" s="101" t="s">
        <v>70</v>
      </c>
      <c r="C9" s="101"/>
      <c r="D9" s="94" t="str">
        <f>Settings!A14</f>
        <v>${offerValidation.CUSTOMER_CODE}</v>
      </c>
      <c r="E9" s="95"/>
      <c r="F9" s="95"/>
      <c r="G9" s="95"/>
      <c r="H9" s="96"/>
      <c r="I9" s="107" t="s">
        <v>71</v>
      </c>
      <c r="J9" s="108"/>
      <c r="K9" s="52" t="s">
        <v>17</v>
      </c>
      <c r="L9" s="52"/>
      <c r="M9" s="52"/>
      <c r="N9" s="52"/>
      <c r="O9" s="33" t="s">
        <v>72</v>
      </c>
      <c r="P9" s="34"/>
      <c r="Q9" s="48"/>
      <c r="R9" s="48"/>
      <c r="S9" s="48"/>
    </row>
    <row r="10" spans="2:20" x14ac:dyDescent="0.25">
      <c r="B10" s="101" t="s">
        <v>73</v>
      </c>
      <c r="C10" s="101"/>
      <c r="D10" s="94"/>
      <c r="E10" s="95"/>
      <c r="F10" s="95"/>
      <c r="G10" s="95"/>
      <c r="H10" s="96"/>
      <c r="I10" s="92" t="s">
        <v>5</v>
      </c>
      <c r="J10" s="93"/>
      <c r="K10" s="52" t="s">
        <v>18</v>
      </c>
      <c r="L10" s="52"/>
      <c r="M10" s="52"/>
      <c r="N10" s="52"/>
      <c r="O10" s="33" t="s">
        <v>74</v>
      </c>
      <c r="P10" s="34"/>
      <c r="Q10" s="48"/>
      <c r="R10" s="48"/>
      <c r="S10" s="48"/>
    </row>
    <row r="11" spans="2:20" ht="15" customHeight="1" x14ac:dyDescent="0.25">
      <c r="B11" s="101" t="s">
        <v>6</v>
      </c>
      <c r="C11" s="101"/>
      <c r="D11" s="89" t="str">
        <f>Settings!A12</f>
        <v>${offerValidation.DISTRIBUTORNAME}</v>
      </c>
      <c r="E11" s="90"/>
      <c r="F11" s="90"/>
      <c r="G11" s="90"/>
      <c r="H11" s="91"/>
      <c r="I11" s="105" t="s">
        <v>7</v>
      </c>
      <c r="J11" s="106"/>
      <c r="K11" s="47" t="str">
        <f>Settings!A7</f>
        <v>${offerValidation.PAYMENTTERMS}</v>
      </c>
      <c r="L11" s="47"/>
      <c r="M11" s="47"/>
      <c r="N11" s="47"/>
      <c r="O11" s="33" t="s">
        <v>72</v>
      </c>
      <c r="P11" s="34"/>
      <c r="Q11" s="48"/>
      <c r="R11" s="48"/>
      <c r="S11" s="48"/>
    </row>
    <row r="12" spans="2:20" x14ac:dyDescent="0.25">
      <c r="B12" s="101" t="s">
        <v>8</v>
      </c>
      <c r="C12" s="101"/>
      <c r="D12" s="89" t="str">
        <f>Settings!A8</f>
        <v>${offerValidation.DELIVERYTERMS}</v>
      </c>
      <c r="E12" s="90"/>
      <c r="F12" s="90"/>
      <c r="G12" s="90"/>
      <c r="H12" s="91"/>
      <c r="I12" s="10"/>
      <c r="J12" s="10"/>
      <c r="K12" s="10"/>
      <c r="L12" s="10"/>
      <c r="M12" s="10"/>
      <c r="N12" s="10"/>
      <c r="O12" s="10"/>
      <c r="P12" s="10"/>
      <c r="Q12" s="10"/>
    </row>
    <row r="13" spans="2:20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2:20" x14ac:dyDescent="0.25">
      <c r="B14" s="114" t="s">
        <v>75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</row>
    <row r="15" spans="2:20" ht="15" customHeight="1" x14ac:dyDescent="0.25">
      <c r="B15" s="78" t="s">
        <v>76</v>
      </c>
      <c r="C15" s="74" t="s">
        <v>77</v>
      </c>
      <c r="D15" s="88" t="s">
        <v>78</v>
      </c>
      <c r="E15" s="88"/>
      <c r="F15" s="88"/>
      <c r="G15" s="68" t="s">
        <v>79</v>
      </c>
      <c r="H15" s="84"/>
      <c r="I15" s="84"/>
      <c r="J15" s="88" t="s">
        <v>80</v>
      </c>
      <c r="K15" s="88"/>
      <c r="L15" s="88"/>
      <c r="M15" s="88" t="s">
        <v>9</v>
      </c>
      <c r="N15" s="88"/>
      <c r="O15" s="74" t="s">
        <v>81</v>
      </c>
      <c r="P15" s="42" t="s">
        <v>10</v>
      </c>
      <c r="Q15" s="43"/>
      <c r="R15" s="74" t="s">
        <v>82</v>
      </c>
      <c r="S15" s="68" t="s">
        <v>14</v>
      </c>
      <c r="T15" s="69"/>
    </row>
    <row r="16" spans="2:20" x14ac:dyDescent="0.25">
      <c r="B16" s="79"/>
      <c r="C16" s="75"/>
      <c r="D16" s="88"/>
      <c r="E16" s="88"/>
      <c r="F16" s="88"/>
      <c r="G16" s="70"/>
      <c r="H16" s="109"/>
      <c r="I16" s="109"/>
      <c r="J16" s="88"/>
      <c r="K16" s="88"/>
      <c r="L16" s="88"/>
      <c r="M16" s="88"/>
      <c r="N16" s="88"/>
      <c r="O16" s="75"/>
      <c r="P16" s="44"/>
      <c r="Q16" s="45"/>
      <c r="R16" s="75"/>
      <c r="S16" s="72"/>
      <c r="T16" s="73"/>
    </row>
    <row r="17" spans="2:20" x14ac:dyDescent="0.25">
      <c r="B17" s="80"/>
      <c r="C17" s="76"/>
      <c r="D17" s="88"/>
      <c r="E17" s="88"/>
      <c r="F17" s="88"/>
      <c r="G17" s="70"/>
      <c r="H17" s="109"/>
      <c r="I17" s="109"/>
      <c r="J17" s="88"/>
      <c r="K17" s="88"/>
      <c r="L17" s="88"/>
      <c r="M17" s="88"/>
      <c r="N17" s="88"/>
      <c r="O17" s="76"/>
      <c r="P17" s="15" t="s">
        <v>83</v>
      </c>
      <c r="Q17" s="15" t="s">
        <v>84</v>
      </c>
      <c r="R17" s="76"/>
      <c r="S17" s="15" t="s">
        <v>83</v>
      </c>
      <c r="T17" s="15" t="s">
        <v>84</v>
      </c>
    </row>
    <row r="18" spans="2:20" x14ac:dyDescent="0.25">
      <c r="B18" s="16">
        <v>1</v>
      </c>
      <c r="C18" s="3" t="s">
        <v>22</v>
      </c>
      <c r="D18" s="110" t="s">
        <v>112</v>
      </c>
      <c r="E18" s="111"/>
      <c r="F18" s="112"/>
      <c r="G18" s="113"/>
      <c r="H18" s="113"/>
      <c r="I18" s="113"/>
      <c r="J18" s="116" t="s">
        <v>113</v>
      </c>
      <c r="K18" s="116"/>
      <c r="L18" s="116"/>
      <c r="M18" s="117" t="s">
        <v>23</v>
      </c>
      <c r="N18" s="118"/>
      <c r="O18" s="16"/>
      <c r="P18" s="18"/>
      <c r="Q18" s="19"/>
      <c r="R18" s="4" t="s">
        <v>26</v>
      </c>
      <c r="S18" s="18"/>
      <c r="T18" s="18"/>
    </row>
    <row r="19" spans="2:20" x14ac:dyDescent="0.25">
      <c r="B19" s="16">
        <v>2</v>
      </c>
      <c r="C19" s="16"/>
      <c r="D19" s="87"/>
      <c r="E19" s="87"/>
      <c r="F19" s="87"/>
      <c r="G19" s="113"/>
      <c r="H19" s="113"/>
      <c r="I19" s="113"/>
      <c r="J19" s="87"/>
      <c r="K19" s="87"/>
      <c r="L19" s="87"/>
      <c r="M19" s="17"/>
      <c r="N19" s="17"/>
      <c r="O19" s="16"/>
      <c r="P19" s="19"/>
      <c r="Q19" s="19"/>
      <c r="R19" s="20"/>
      <c r="S19" s="18"/>
      <c r="T19" s="18"/>
    </row>
    <row r="20" spans="2:20" x14ac:dyDescent="0.25">
      <c r="B20" s="16">
        <v>3</v>
      </c>
      <c r="C20" s="16"/>
      <c r="D20" s="87"/>
      <c r="E20" s="87"/>
      <c r="F20" s="87"/>
      <c r="G20" s="113"/>
      <c r="H20" s="113"/>
      <c r="I20" s="113"/>
      <c r="J20" s="87"/>
      <c r="K20" s="87"/>
      <c r="L20" s="87"/>
      <c r="M20" s="16"/>
      <c r="N20" s="16"/>
      <c r="O20" s="16"/>
      <c r="P20" s="19"/>
      <c r="Q20" s="19"/>
      <c r="R20" s="20"/>
      <c r="S20" s="18"/>
      <c r="T20" s="18"/>
    </row>
    <row r="21" spans="2:20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2:20" x14ac:dyDescent="0.25">
      <c r="B22" s="67" t="s">
        <v>85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10"/>
      <c r="O22" s="10"/>
      <c r="P22" s="10"/>
      <c r="Q22" s="10"/>
    </row>
    <row r="23" spans="2:20" x14ac:dyDescent="0.25">
      <c r="B23" s="78" t="s">
        <v>76</v>
      </c>
      <c r="C23" s="74" t="s">
        <v>77</v>
      </c>
      <c r="D23" s="38"/>
      <c r="E23" s="81" t="s">
        <v>86</v>
      </c>
      <c r="F23" s="74" t="s">
        <v>87</v>
      </c>
      <c r="G23" s="74" t="s">
        <v>88</v>
      </c>
      <c r="H23" s="68" t="s">
        <v>89</v>
      </c>
      <c r="I23" s="84"/>
      <c r="J23" s="69"/>
      <c r="K23" s="68" t="s">
        <v>90</v>
      </c>
      <c r="L23" s="69"/>
      <c r="M23" s="74" t="s">
        <v>91</v>
      </c>
      <c r="N23" s="10"/>
      <c r="O23" s="10"/>
      <c r="P23" s="41"/>
      <c r="Q23" s="10"/>
    </row>
    <row r="24" spans="2:20" ht="15" customHeight="1" x14ac:dyDescent="0.25">
      <c r="B24" s="79"/>
      <c r="C24" s="75"/>
      <c r="D24" s="39"/>
      <c r="E24" s="82"/>
      <c r="F24" s="75"/>
      <c r="G24" s="75"/>
      <c r="H24" s="70"/>
      <c r="I24" s="85"/>
      <c r="J24" s="71"/>
      <c r="K24" s="70"/>
      <c r="L24" s="71"/>
      <c r="M24" s="75"/>
      <c r="N24" s="10"/>
      <c r="O24" s="10"/>
      <c r="P24" s="41"/>
      <c r="Q24" s="10"/>
    </row>
    <row r="25" spans="2:20" x14ac:dyDescent="0.25">
      <c r="B25" s="80"/>
      <c r="C25" s="76"/>
      <c r="D25" s="40"/>
      <c r="E25" s="83"/>
      <c r="F25" s="76"/>
      <c r="G25" s="76"/>
      <c r="H25" s="72"/>
      <c r="I25" s="86"/>
      <c r="J25" s="73"/>
      <c r="K25" s="72"/>
      <c r="L25" s="73"/>
      <c r="M25" s="76"/>
      <c r="N25" s="10"/>
      <c r="O25" s="10"/>
      <c r="P25" s="10"/>
      <c r="Q25" s="10"/>
    </row>
    <row r="26" spans="2:20" x14ac:dyDescent="0.25">
      <c r="B26" s="21">
        <v>1</v>
      </c>
      <c r="C26" s="21"/>
      <c r="D26" s="21"/>
      <c r="E26" s="21"/>
      <c r="F26" s="21"/>
      <c r="G26" s="21"/>
      <c r="H26" s="77"/>
      <c r="I26" s="77"/>
      <c r="J26" s="77"/>
      <c r="K26" s="59"/>
      <c r="L26" s="59"/>
      <c r="M26" s="21"/>
      <c r="N26" s="10"/>
      <c r="O26" s="10"/>
      <c r="P26" s="10"/>
      <c r="Q26" s="10"/>
    </row>
    <row r="27" spans="2:20" x14ac:dyDescent="0.25">
      <c r="B27" s="21">
        <v>2</v>
      </c>
      <c r="C27" s="21"/>
      <c r="D27" s="21"/>
      <c r="E27" s="21"/>
      <c r="F27" s="21"/>
      <c r="G27" s="21"/>
      <c r="H27" s="66"/>
      <c r="I27" s="66"/>
      <c r="J27" s="66"/>
      <c r="K27" s="59"/>
      <c r="L27" s="59"/>
      <c r="M27" s="21"/>
      <c r="N27" s="10"/>
      <c r="O27" s="10"/>
      <c r="P27" s="10"/>
      <c r="Q27" s="10"/>
    </row>
    <row r="28" spans="2:20" x14ac:dyDescent="0.25">
      <c r="B28" s="21">
        <v>3</v>
      </c>
      <c r="C28" s="21"/>
      <c r="D28" s="21"/>
      <c r="E28" s="21"/>
      <c r="F28" s="21"/>
      <c r="G28" s="21"/>
      <c r="H28" s="66"/>
      <c r="I28" s="66"/>
      <c r="J28" s="66"/>
      <c r="K28" s="59"/>
      <c r="L28" s="59"/>
      <c r="M28" s="21"/>
      <c r="N28" s="10"/>
      <c r="O28" s="10"/>
      <c r="P28" s="10"/>
      <c r="Q28" s="10"/>
    </row>
    <row r="29" spans="2:20" x14ac:dyDescent="0.25">
      <c r="B29" s="10"/>
      <c r="C29" s="10"/>
      <c r="D29" s="10"/>
      <c r="E29" s="22"/>
      <c r="F29" s="10"/>
      <c r="G29" s="10"/>
      <c r="H29" s="10"/>
      <c r="J29" s="22"/>
      <c r="K29" s="10"/>
      <c r="L29" s="10"/>
      <c r="M29" s="10"/>
      <c r="N29" s="10"/>
      <c r="O29" s="10"/>
      <c r="P29" s="10"/>
      <c r="Q29" s="10"/>
    </row>
    <row r="30" spans="2:20" x14ac:dyDescent="0.25">
      <c r="B30" s="56" t="s">
        <v>92</v>
      </c>
      <c r="C30" s="56"/>
      <c r="D30" s="56"/>
      <c r="E30" s="56"/>
      <c r="F30" s="56"/>
      <c r="G30" s="23"/>
      <c r="H30" s="36" t="s">
        <v>93</v>
      </c>
      <c r="I30" s="37"/>
      <c r="J30" s="57" t="s">
        <v>94</v>
      </c>
      <c r="K30" s="57"/>
      <c r="L30" s="57"/>
      <c r="M30" s="57"/>
      <c r="N30" s="57"/>
      <c r="O30" s="57"/>
      <c r="P30" s="10"/>
      <c r="Q30" s="10"/>
    </row>
    <row r="31" spans="2:20" x14ac:dyDescent="0.25">
      <c r="B31" s="24" t="s">
        <v>95</v>
      </c>
      <c r="C31" s="25"/>
      <c r="D31" s="25"/>
      <c r="E31" s="58"/>
      <c r="F31" s="58"/>
      <c r="G31" s="10"/>
      <c r="H31" s="60" t="s">
        <v>96</v>
      </c>
      <c r="I31" s="61"/>
      <c r="J31" s="59"/>
      <c r="K31" s="59"/>
      <c r="L31" s="59"/>
      <c r="M31" s="59"/>
      <c r="N31" s="59"/>
      <c r="O31" s="59"/>
      <c r="P31" s="10"/>
      <c r="Q31" s="10"/>
    </row>
    <row r="32" spans="2:20" x14ac:dyDescent="0.25">
      <c r="B32" s="24" t="s">
        <v>97</v>
      </c>
      <c r="C32" s="25"/>
      <c r="D32" s="25"/>
      <c r="E32" s="59"/>
      <c r="F32" s="59"/>
      <c r="G32" s="10"/>
      <c r="H32" s="62" t="s">
        <v>98</v>
      </c>
      <c r="I32" s="63"/>
      <c r="J32" s="59"/>
      <c r="K32" s="59"/>
      <c r="L32" s="59"/>
      <c r="M32" s="59"/>
      <c r="N32" s="59"/>
      <c r="O32" s="59"/>
      <c r="P32" s="10"/>
      <c r="Q32" s="10"/>
    </row>
    <row r="33" spans="2:17" x14ac:dyDescent="0.25">
      <c r="B33" s="24" t="s">
        <v>99</v>
      </c>
      <c r="C33" s="25"/>
      <c r="D33" s="25"/>
      <c r="E33" s="21"/>
      <c r="F33" s="26" t="s">
        <v>100</v>
      </c>
      <c r="G33" s="10"/>
      <c r="H33" s="62" t="s">
        <v>101</v>
      </c>
      <c r="I33" s="63"/>
      <c r="J33" s="59"/>
      <c r="K33" s="59"/>
      <c r="L33" s="59"/>
      <c r="M33" s="59"/>
      <c r="N33" s="59"/>
      <c r="O33" s="59"/>
      <c r="P33" s="10"/>
      <c r="Q33" s="10"/>
    </row>
    <row r="34" spans="2:17" x14ac:dyDescent="0.25">
      <c r="B34" s="27" t="s">
        <v>102</v>
      </c>
      <c r="C34" s="28"/>
      <c r="D34" s="28"/>
      <c r="E34" s="21"/>
      <c r="F34" s="26" t="s">
        <v>100</v>
      </c>
      <c r="G34" s="10"/>
      <c r="H34" s="64" t="s">
        <v>103</v>
      </c>
      <c r="I34" s="65"/>
      <c r="J34" s="53"/>
      <c r="K34" s="53"/>
      <c r="L34" s="53"/>
      <c r="M34" s="53"/>
      <c r="N34" s="53"/>
      <c r="O34" s="53"/>
      <c r="P34" s="10"/>
      <c r="Q34" s="10"/>
    </row>
    <row r="35" spans="2:17" x14ac:dyDescent="0.25">
      <c r="B35" s="29"/>
      <c r="C35" s="29"/>
      <c r="D35" s="29"/>
      <c r="E35" s="29"/>
      <c r="F35" s="22"/>
      <c r="G35" s="10"/>
      <c r="H35" s="30"/>
      <c r="I35" s="11"/>
      <c r="J35" s="11"/>
      <c r="K35" s="11"/>
      <c r="L35" s="11"/>
      <c r="M35" s="11"/>
      <c r="N35" s="11"/>
      <c r="O35" s="11"/>
      <c r="P35" s="11"/>
      <c r="Q35" s="10"/>
    </row>
    <row r="36" spans="2:17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2:17" x14ac:dyDescent="0.25">
      <c r="B37" s="54" t="s">
        <v>104</v>
      </c>
      <c r="C37" s="54"/>
      <c r="D37" s="54"/>
      <c r="E37" s="54"/>
      <c r="F37" s="54"/>
      <c r="G37" s="54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2:17" x14ac:dyDescent="0.25">
      <c r="B38" s="55" t="s">
        <v>105</v>
      </c>
      <c r="C38" s="55"/>
      <c r="D38" s="55"/>
      <c r="E38" s="55"/>
      <c r="F38" s="55"/>
      <c r="G38" s="55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2:17" x14ac:dyDescent="0.25">
      <c r="B39" s="55"/>
      <c r="C39" s="55"/>
      <c r="D39" s="55"/>
      <c r="E39" s="55"/>
      <c r="F39" s="55"/>
      <c r="G39" s="55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2:17" x14ac:dyDescent="0.25">
      <c r="B40" s="55"/>
      <c r="C40" s="55"/>
      <c r="D40" s="55"/>
      <c r="E40" s="55"/>
      <c r="F40" s="55"/>
      <c r="G40" s="55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2:17" x14ac:dyDescent="0.25">
      <c r="B41" s="55"/>
      <c r="C41" s="55"/>
      <c r="D41" s="55"/>
      <c r="E41" s="55"/>
      <c r="F41" s="55"/>
      <c r="G41" s="55"/>
      <c r="H41" s="31"/>
      <c r="I41" s="10"/>
      <c r="J41" s="10"/>
      <c r="K41" s="10"/>
      <c r="L41" s="10"/>
      <c r="M41" s="10"/>
      <c r="N41" s="10"/>
      <c r="O41" s="10"/>
      <c r="P41" s="10"/>
      <c r="Q41" s="10"/>
    </row>
    <row r="42" spans="2:17" x14ac:dyDescent="0.25">
      <c r="B42" s="55"/>
      <c r="C42" s="55"/>
      <c r="D42" s="55"/>
      <c r="E42" s="55"/>
      <c r="F42" s="55"/>
      <c r="G42" s="55"/>
      <c r="H42" s="10"/>
      <c r="I42" s="32" t="s">
        <v>106</v>
      </c>
      <c r="J42" s="10"/>
      <c r="K42" s="10" t="s">
        <v>107</v>
      </c>
      <c r="L42" s="22"/>
      <c r="M42" s="10"/>
      <c r="N42" s="10"/>
      <c r="O42" s="10"/>
      <c r="P42" s="10"/>
      <c r="Q42" s="10"/>
    </row>
    <row r="43" spans="2:17" x14ac:dyDescent="0.25">
      <c r="B43" s="10"/>
      <c r="C43" s="22"/>
      <c r="D43" s="22"/>
      <c r="E43" s="10"/>
      <c r="F43" s="10"/>
      <c r="G43" s="10"/>
      <c r="H43" s="10"/>
      <c r="I43" s="10"/>
      <c r="J43" s="10"/>
      <c r="K43" s="10" t="s">
        <v>108</v>
      </c>
      <c r="L43" s="22"/>
      <c r="M43" s="10"/>
      <c r="N43" s="10"/>
      <c r="O43" s="10"/>
      <c r="P43" s="10"/>
      <c r="Q43" s="10"/>
    </row>
    <row r="44" spans="2:17" x14ac:dyDescent="0.25">
      <c r="B44" s="10"/>
      <c r="C44" s="10"/>
      <c r="D44" s="10"/>
      <c r="E44" s="10"/>
      <c r="F44" s="10"/>
      <c r="G44" s="10"/>
      <c r="H44" s="10"/>
      <c r="I44" s="22"/>
      <c r="J44" s="10"/>
      <c r="K44" s="10"/>
      <c r="L44" s="10"/>
      <c r="M44" s="10"/>
      <c r="N44" s="10"/>
      <c r="O44" s="10"/>
      <c r="P44" s="10"/>
      <c r="Q44" s="10"/>
    </row>
  </sheetData>
  <mergeCells count="75">
    <mergeCell ref="D19:F19"/>
    <mergeCell ref="D20:F20"/>
    <mergeCell ref="G15:I17"/>
    <mergeCell ref="G18:I18"/>
    <mergeCell ref="G19:I19"/>
    <mergeCell ref="G20:I20"/>
    <mergeCell ref="C3:G3"/>
    <mergeCell ref="K3:N3"/>
    <mergeCell ref="C4:G4"/>
    <mergeCell ref="K4:N4"/>
    <mergeCell ref="B8:C8"/>
    <mergeCell ref="B7:S7"/>
    <mergeCell ref="B9:C9"/>
    <mergeCell ref="B10:C10"/>
    <mergeCell ref="B11:C11"/>
    <mergeCell ref="B12:C12"/>
    <mergeCell ref="I8:J8"/>
    <mergeCell ref="I9:J9"/>
    <mergeCell ref="I11:J11"/>
    <mergeCell ref="I10:J10"/>
    <mergeCell ref="D8:H8"/>
    <mergeCell ref="D9:H9"/>
    <mergeCell ref="D10:H10"/>
    <mergeCell ref="D11:H11"/>
    <mergeCell ref="D12:H12"/>
    <mergeCell ref="R15:R17"/>
    <mergeCell ref="S15:T16"/>
    <mergeCell ref="B15:B17"/>
    <mergeCell ref="C15:C17"/>
    <mergeCell ref="D15:F17"/>
    <mergeCell ref="D18:F18"/>
    <mergeCell ref="B14:R14"/>
    <mergeCell ref="O15:O17"/>
    <mergeCell ref="J15:L17"/>
    <mergeCell ref="J18:L18"/>
    <mergeCell ref="J19:L19"/>
    <mergeCell ref="J20:L20"/>
    <mergeCell ref="M15:N17"/>
    <mergeCell ref="B22:M22"/>
    <mergeCell ref="K23:L25"/>
    <mergeCell ref="M23:M25"/>
    <mergeCell ref="H26:J26"/>
    <mergeCell ref="K26:L26"/>
    <mergeCell ref="B23:B25"/>
    <mergeCell ref="C23:C25"/>
    <mergeCell ref="E23:E25"/>
    <mergeCell ref="F23:F25"/>
    <mergeCell ref="G23:G25"/>
    <mergeCell ref="H23:J25"/>
    <mergeCell ref="H27:J27"/>
    <mergeCell ref="K27:L27"/>
    <mergeCell ref="H28:J28"/>
    <mergeCell ref="K28:L28"/>
    <mergeCell ref="J33:O33"/>
    <mergeCell ref="J34:O34"/>
    <mergeCell ref="B37:G37"/>
    <mergeCell ref="B38:G42"/>
    <mergeCell ref="B30:F30"/>
    <mergeCell ref="J30:O30"/>
    <mergeCell ref="E31:F31"/>
    <mergeCell ref="J31:O31"/>
    <mergeCell ref="E32:F32"/>
    <mergeCell ref="J32:O32"/>
    <mergeCell ref="H31:I31"/>
    <mergeCell ref="H32:I32"/>
    <mergeCell ref="H33:I33"/>
    <mergeCell ref="H34:I34"/>
    <mergeCell ref="K11:N11"/>
    <mergeCell ref="Q8:S8"/>
    <mergeCell ref="Q9:S9"/>
    <mergeCell ref="Q10:S10"/>
    <mergeCell ref="Q11:S11"/>
    <mergeCell ref="K8:N8"/>
    <mergeCell ref="K9:N9"/>
    <mergeCell ref="K10:N10"/>
  </mergeCells>
  <dataValidations count="2">
    <dataValidation type="list" allowBlank="1" showInputMessage="1" showErrorMessage="1" sqref="E26:E28" xr:uid="{B316A799-CF60-4C99-A88E-2204076E38E6}">
      <formula1>"กล่อง, เม็ด, ไวอัล, แอมพูล, ขวด, box, tablet, vial, ampoul, bottle"</formula1>
    </dataValidation>
    <dataValidation type="list" allowBlank="1" showInputMessage="1" showErrorMessage="1" sqref="F33:F34" xr:uid="{2CF9FB64-438B-485F-A115-633E3AF0704D}">
      <formula1>"Days (วัน), Months (เดือน), Years (ปี)"</formula1>
    </dataValidation>
  </dataValidations>
  <pageMargins left="0.7" right="0.7" top="0.75" bottom="0.75" header="0.3" footer="0.3"/>
  <headerFooter>
    <oddFooter>&amp;R_x000D_&amp;1#&amp;"Calibri"&amp;22&amp;KFF8939 RESTRICTED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DA0-6CEF-4001-8243-A13FFD1BF3BE}">
  <dimension ref="A1:U52"/>
  <sheetViews>
    <sheetView zoomScale="85" zoomScaleNormal="85" workbookViewId="0">
      <selection activeCell="A14" sqref="A14"/>
    </sheetView>
  </sheetViews>
  <sheetFormatPr defaultRowHeight="15" x14ac:dyDescent="0.25"/>
  <cols>
    <col min="1" max="1" width="43.5703125" bestFit="1" customWidth="1"/>
    <col min="2" max="2" width="50.28515625" bestFit="1" customWidth="1"/>
    <col min="3" max="3" width="47.28515625" bestFit="1" customWidth="1"/>
    <col min="4" max="4" width="36.7109375" bestFit="1" customWidth="1"/>
    <col min="5" max="5" width="46.7109375" bestFit="1" customWidth="1"/>
    <col min="6" max="6" width="44.28515625" bestFit="1" customWidth="1"/>
    <col min="7" max="7" width="52.28515625" bestFit="1" customWidth="1"/>
    <col min="8" max="8" width="69.28515625" bestFit="1" customWidth="1"/>
    <col min="9" max="9" width="75.42578125" bestFit="1" customWidth="1"/>
    <col min="10" max="10" width="42.28515625" bestFit="1" customWidth="1"/>
    <col min="11" max="11" width="40.5703125" bestFit="1" customWidth="1"/>
    <col min="12" max="12" width="42.140625" bestFit="1" customWidth="1"/>
    <col min="13" max="13" width="41.7109375" bestFit="1" customWidth="1"/>
    <col min="14" max="14" width="52.85546875" bestFit="1" customWidth="1"/>
    <col min="15" max="15" width="36.28515625" bestFit="1" customWidth="1"/>
    <col min="16" max="16" width="46.7109375" bestFit="1" customWidth="1"/>
    <col min="17" max="17" width="16.28515625" customWidth="1"/>
    <col min="18" max="18" width="39.5703125" bestFit="1" customWidth="1"/>
    <col min="19" max="19" width="38.85546875" bestFit="1" customWidth="1"/>
    <col min="20" max="20" width="27.140625" bestFit="1" customWidth="1"/>
    <col min="21" max="21" width="43.28515625" bestFit="1" customWidth="1"/>
  </cols>
  <sheetData>
    <row r="1" spans="1:3" x14ac:dyDescent="0.25">
      <c r="A1" s="1" t="s">
        <v>45</v>
      </c>
      <c r="B1" s="1" t="s">
        <v>46</v>
      </c>
    </row>
    <row r="2" spans="1:3" x14ac:dyDescent="0.25">
      <c r="A2" t="s">
        <v>15</v>
      </c>
      <c r="B2" t="s">
        <v>2</v>
      </c>
    </row>
    <row r="3" spans="1:3" x14ac:dyDescent="0.25">
      <c r="A3" t="s">
        <v>16</v>
      </c>
      <c r="B3" t="s">
        <v>3</v>
      </c>
    </row>
    <row r="4" spans="1:3" x14ac:dyDescent="0.25">
      <c r="A4" t="s">
        <v>17</v>
      </c>
      <c r="B4" t="s">
        <v>4</v>
      </c>
    </row>
    <row r="5" spans="1:3" x14ac:dyDescent="0.25">
      <c r="A5" t="s">
        <v>18</v>
      </c>
      <c r="B5" t="s">
        <v>5</v>
      </c>
    </row>
    <row r="6" spans="1:3" x14ac:dyDescent="0.25">
      <c r="A6" t="s">
        <v>21</v>
      </c>
      <c r="B6" t="s">
        <v>6</v>
      </c>
    </row>
    <row r="7" spans="1:3" x14ac:dyDescent="0.25">
      <c r="A7" t="s">
        <v>20</v>
      </c>
      <c r="B7" t="s">
        <v>7</v>
      </c>
    </row>
    <row r="8" spans="1:3" x14ac:dyDescent="0.25">
      <c r="A8" t="s">
        <v>19</v>
      </c>
      <c r="B8" t="s">
        <v>8</v>
      </c>
    </row>
    <row r="9" spans="1:3" x14ac:dyDescent="0.25">
      <c r="A9" t="s">
        <v>0</v>
      </c>
      <c r="B9" t="s">
        <v>1</v>
      </c>
    </row>
    <row r="10" spans="1:3" x14ac:dyDescent="0.25">
      <c r="A10" t="s">
        <v>59</v>
      </c>
      <c r="B10" t="s">
        <v>60</v>
      </c>
    </row>
    <row r="11" spans="1:3" x14ac:dyDescent="0.25">
      <c r="A11" t="s">
        <v>109</v>
      </c>
      <c r="B11" t="s">
        <v>64</v>
      </c>
    </row>
    <row r="12" spans="1:3" x14ac:dyDescent="0.25">
      <c r="A12" t="s">
        <v>110</v>
      </c>
      <c r="B12" t="s">
        <v>63</v>
      </c>
    </row>
    <row r="13" spans="1:3" x14ac:dyDescent="0.25">
      <c r="A13" t="s">
        <v>111</v>
      </c>
      <c r="B13" t="s">
        <v>65</v>
      </c>
    </row>
    <row r="14" spans="1:3" x14ac:dyDescent="0.25">
      <c r="A14" t="s">
        <v>114</v>
      </c>
      <c r="B14" t="s">
        <v>70</v>
      </c>
      <c r="C14" s="46"/>
    </row>
    <row r="16" spans="1:3" x14ac:dyDescent="0.25">
      <c r="A16" s="1" t="s">
        <v>47</v>
      </c>
    </row>
    <row r="17" spans="1:21" x14ac:dyDescent="0.25">
      <c r="A17" s="7" t="s">
        <v>48</v>
      </c>
      <c r="B17" s="8" t="s">
        <v>49</v>
      </c>
      <c r="C17" s="2" t="s">
        <v>29</v>
      </c>
      <c r="D17" s="2" t="s">
        <v>30</v>
      </c>
      <c r="E17" s="2" t="s">
        <v>32</v>
      </c>
      <c r="F17" s="2" t="s">
        <v>34</v>
      </c>
      <c r="G17" s="2" t="s">
        <v>35</v>
      </c>
      <c r="H17" s="2" t="s">
        <v>38</v>
      </c>
      <c r="I17" s="2" t="s">
        <v>40</v>
      </c>
      <c r="J17" s="2" t="s">
        <v>42</v>
      </c>
      <c r="K17" s="2" t="s">
        <v>44</v>
      </c>
      <c r="L17" s="2" t="s">
        <v>9</v>
      </c>
      <c r="M17" s="2" t="s">
        <v>11</v>
      </c>
      <c r="N17" s="2" t="s">
        <v>12</v>
      </c>
      <c r="O17" s="2" t="s">
        <v>13</v>
      </c>
      <c r="P17" s="2" t="s">
        <v>50</v>
      </c>
      <c r="Q17" s="2" t="s">
        <v>51</v>
      </c>
      <c r="R17" s="2" t="s">
        <v>52</v>
      </c>
      <c r="S17" s="2" t="s">
        <v>54</v>
      </c>
      <c r="T17" s="2" t="s">
        <v>56</v>
      </c>
      <c r="U17" s="2" t="s">
        <v>58</v>
      </c>
    </row>
    <row r="18" spans="1:21" x14ac:dyDescent="0.25">
      <c r="A18" s="3" t="s">
        <v>22</v>
      </c>
      <c r="B18" s="4" t="s">
        <v>112</v>
      </c>
      <c r="C18" t="s">
        <v>27</v>
      </c>
      <c r="D18" t="s">
        <v>28</v>
      </c>
      <c r="E18" s="9" t="s">
        <v>31</v>
      </c>
      <c r="F18" t="s">
        <v>33</v>
      </c>
      <c r="G18" s="9" t="s">
        <v>36</v>
      </c>
      <c r="H18" s="9" t="s">
        <v>37</v>
      </c>
      <c r="I18" s="9" t="s">
        <v>39</v>
      </c>
      <c r="J18" t="s">
        <v>41</v>
      </c>
      <c r="K18" t="s">
        <v>43</v>
      </c>
      <c r="L18" t="s">
        <v>23</v>
      </c>
      <c r="M18" t="s">
        <v>24</v>
      </c>
      <c r="N18" t="s">
        <v>25</v>
      </c>
      <c r="O18" t="s">
        <v>26</v>
      </c>
      <c r="P18" t="s">
        <v>62</v>
      </c>
      <c r="Q18" t="e">
        <f>IF(D18&gt;0,IF(D18="Unit",CONCATENATE(Settings!P18," ",Settings!D18,"s"),CONCATENATE((Settings!P18/Settings!L18)," ",Settings!D18,"s")),"")</f>
        <v>#VALUE!</v>
      </c>
      <c r="R18" t="s">
        <v>53</v>
      </c>
      <c r="S18" t="s">
        <v>55</v>
      </c>
      <c r="T18" t="s">
        <v>61</v>
      </c>
      <c r="U18" t="s">
        <v>57</v>
      </c>
    </row>
    <row r="19" spans="1:21" x14ac:dyDescent="0.25">
      <c r="A19" s="3"/>
      <c r="B19" s="4"/>
      <c r="E19" s="9"/>
      <c r="G19" s="9"/>
      <c r="H19" s="9"/>
      <c r="I19" s="9"/>
      <c r="Q19" t="str">
        <f>IF(D19&gt;0,IF(D19="Unit",CONCATENATE(Settings!P19," ",Settings!D19,"s"),CONCATENATE((Settings!P19/Settings!L19)," ",Settings!D19,"s")),"")</f>
        <v/>
      </c>
    </row>
    <row r="20" spans="1:21" x14ac:dyDescent="0.25">
      <c r="A20" s="3"/>
      <c r="B20" s="4"/>
      <c r="E20" s="9"/>
      <c r="G20" s="9"/>
      <c r="H20" s="9"/>
      <c r="I20" s="9"/>
      <c r="Q20" t="str">
        <f>IF(D20&gt;0,IF(D20="Unit",CONCATENATE(Settings!P20," ",Settings!D20,"s"),CONCATENATE((Settings!P20/Settings!L20)," ",Settings!D20,"s")),"")</f>
        <v/>
      </c>
    </row>
    <row r="21" spans="1:21" x14ac:dyDescent="0.25">
      <c r="A21" s="3"/>
      <c r="B21" s="4"/>
      <c r="E21" s="9"/>
      <c r="G21" s="9"/>
      <c r="H21" s="9"/>
      <c r="I21" s="9"/>
      <c r="Q21" t="str">
        <f>IF(D21&gt;0,IF(D21="Unit",CONCATENATE(Settings!P21," ",Settings!D21,"s"),CONCATENATE((Settings!P21/Settings!L21)," ",Settings!D21,"s")),"")</f>
        <v/>
      </c>
    </row>
    <row r="22" spans="1:21" x14ac:dyDescent="0.25">
      <c r="A22" s="3"/>
      <c r="B22" s="4"/>
      <c r="E22" s="9"/>
      <c r="G22" s="9"/>
      <c r="H22" s="9"/>
      <c r="I22" s="9"/>
      <c r="Q22" t="str">
        <f>IF(D22&gt;0,IF(D22="Unit",CONCATENATE(Settings!P22," ",Settings!D22,"s"),CONCATENATE((Settings!P22/Settings!L22)," ",Settings!D22,"s")),"")</f>
        <v/>
      </c>
    </row>
    <row r="23" spans="1:21" x14ac:dyDescent="0.25">
      <c r="A23" s="3"/>
      <c r="B23" s="4"/>
      <c r="E23" s="9"/>
      <c r="G23" s="9"/>
      <c r="H23" s="9"/>
      <c r="I23" s="9"/>
      <c r="Q23" t="str">
        <f>IF(D23&gt;0,IF(D23="Unit",CONCATENATE(Settings!P23," ",Settings!D23,"s"),CONCATENATE((Settings!P23/Settings!L23)," ",Settings!D23,"s")),"")</f>
        <v/>
      </c>
    </row>
    <row r="24" spans="1:21" x14ac:dyDescent="0.25">
      <c r="A24" s="3"/>
      <c r="B24" s="4"/>
      <c r="E24" s="9"/>
      <c r="G24" s="9"/>
      <c r="H24" s="9"/>
      <c r="I24" s="9"/>
      <c r="Q24" t="str">
        <f>IF(D24&gt;0,IF(D24="Unit",CONCATENATE(Settings!P24," ",Settings!D24,"s"),CONCATENATE((Settings!P24/Settings!L24)," ",Settings!D24,"s")),"")</f>
        <v/>
      </c>
    </row>
    <row r="25" spans="1:21" x14ac:dyDescent="0.25">
      <c r="A25" s="3"/>
      <c r="B25" s="4"/>
      <c r="E25" s="9"/>
      <c r="G25" s="9"/>
      <c r="H25" s="9"/>
      <c r="I25" s="9"/>
      <c r="Q25" t="str">
        <f>IF(D25&gt;0,IF(D25="Unit",CONCATENATE(Settings!P25," ",Settings!D25,"s"),CONCATENATE((Settings!P25/Settings!L25)," ",Settings!D25,"s")),"")</f>
        <v/>
      </c>
    </row>
    <row r="26" spans="1:21" x14ac:dyDescent="0.25">
      <c r="A26" s="3"/>
      <c r="B26" s="4"/>
      <c r="E26" s="9"/>
      <c r="G26" s="9"/>
      <c r="H26" s="9"/>
      <c r="I26" s="9"/>
      <c r="Q26" t="str">
        <f>IF(D26&gt;0,IF(D26="Unit",CONCATENATE(Settings!P26," ",Settings!D26,"s"),CONCATENATE((Settings!P26/Settings!L26)," ",Settings!D26,"s")),"")</f>
        <v/>
      </c>
    </row>
    <row r="27" spans="1:21" x14ac:dyDescent="0.25">
      <c r="A27" s="3"/>
      <c r="B27" s="4"/>
      <c r="E27" s="9"/>
      <c r="G27" s="9"/>
      <c r="H27" s="9"/>
      <c r="I27" s="9"/>
      <c r="Q27" t="str">
        <f>IF(D27&gt;0,IF(D27="Unit",CONCATENATE(Settings!P27," ",Settings!D27,"s"),CONCATENATE((Settings!P27/Settings!L27)," ",Settings!D27,"s")),"")</f>
        <v/>
      </c>
    </row>
    <row r="28" spans="1:21" x14ac:dyDescent="0.25">
      <c r="A28" s="3"/>
      <c r="B28" s="4"/>
      <c r="E28" s="9"/>
      <c r="G28" s="9"/>
      <c r="H28" s="9"/>
      <c r="I28" s="9"/>
      <c r="Q28" t="str">
        <f>IF(D28&gt;0,IF(D28="Unit",CONCATENATE(Settings!P28," ",Settings!D28,"s"),CONCATENATE((Settings!P28/Settings!L28)," ",Settings!D28,"s")),"")</f>
        <v/>
      </c>
    </row>
    <row r="29" spans="1:21" x14ac:dyDescent="0.25">
      <c r="A29" s="3"/>
      <c r="B29" s="4"/>
      <c r="E29" s="9"/>
      <c r="G29" s="9"/>
      <c r="H29" s="9"/>
      <c r="I29" s="9"/>
      <c r="Q29" t="str">
        <f>IF(D29&gt;0,IF(D29="Unit",CONCATENATE(Settings!P29," ",Settings!D29,"s"),CONCATENATE((Settings!P29/Settings!L29)," ",Settings!D29,"s")),"")</f>
        <v/>
      </c>
    </row>
    <row r="30" spans="1:21" x14ac:dyDescent="0.25">
      <c r="A30" s="3"/>
      <c r="B30" s="4"/>
      <c r="E30" s="9"/>
      <c r="G30" s="9"/>
      <c r="H30" s="9"/>
      <c r="I30" s="9"/>
      <c r="Q30" t="str">
        <f>IF(D30&gt;0,IF(D30="Unit",CONCATENATE(Settings!P30," ",Settings!D30,"s"),CONCATENATE((Settings!P30/Settings!L30)," ",Settings!D30,"s")),"")</f>
        <v/>
      </c>
    </row>
    <row r="31" spans="1:21" x14ac:dyDescent="0.25">
      <c r="A31" s="3"/>
      <c r="B31" s="4"/>
      <c r="E31" s="9"/>
      <c r="G31" s="9"/>
      <c r="H31" s="9"/>
      <c r="I31" s="9"/>
      <c r="Q31" t="str">
        <f>IF(D31&gt;0,IF(D31="Unit",CONCATENATE(Settings!P31," ",Settings!D31,"s"),CONCATENATE((Settings!P31/Settings!L31)," ",Settings!D31,"s")),"")</f>
        <v/>
      </c>
    </row>
    <row r="32" spans="1:21" x14ac:dyDescent="0.25">
      <c r="A32" s="3"/>
      <c r="B32" s="4"/>
      <c r="E32" s="9"/>
      <c r="G32" s="9"/>
      <c r="H32" s="9"/>
      <c r="I32" s="9"/>
      <c r="Q32" t="str">
        <f>IF(D32&gt;0,IF(D32="Unit",CONCATENATE(Settings!P32," ",Settings!D32,"s"),CONCATENATE((Settings!P32/Settings!L32)," ",Settings!D32,"s")),"")</f>
        <v/>
      </c>
    </row>
    <row r="33" spans="1:17" x14ac:dyDescent="0.25">
      <c r="A33" s="3"/>
      <c r="B33" s="4"/>
      <c r="E33" s="9"/>
      <c r="G33" s="9"/>
      <c r="H33" s="9"/>
      <c r="I33" s="9"/>
      <c r="Q33" t="str">
        <f>IF(D33&gt;0,IF(D33="Unit",CONCATENATE(Settings!P33," ",Settings!D33,"s"),CONCATENATE((Settings!P33/Settings!L33)," ",Settings!D33,"s")),"")</f>
        <v/>
      </c>
    </row>
    <row r="34" spans="1:17" x14ac:dyDescent="0.25">
      <c r="A34" s="3"/>
      <c r="B34" s="4"/>
      <c r="E34" s="9"/>
      <c r="G34" s="9"/>
      <c r="H34" s="9"/>
      <c r="I34" s="9"/>
      <c r="Q34" t="str">
        <f>IF(D34&gt;0,IF(D34="Unit",CONCATENATE(Settings!P34," ",Settings!D34,"s"),CONCATENATE((Settings!P34/Settings!L34)," ",Settings!D34,"s")),"")</f>
        <v/>
      </c>
    </row>
    <row r="35" spans="1:17" x14ac:dyDescent="0.25">
      <c r="A35" s="3"/>
      <c r="B35" s="4"/>
      <c r="E35" s="9"/>
      <c r="G35" s="9"/>
      <c r="H35" s="9"/>
      <c r="I35" s="9"/>
      <c r="Q35" t="str">
        <f>IF(D35&gt;0,IF(D35="Unit",CONCATENATE(Settings!P35," ",Settings!D35,"s"),CONCATENATE((Settings!P35/Settings!L35)," ",Settings!D35,"s")),"")</f>
        <v/>
      </c>
    </row>
    <row r="36" spans="1:17" x14ac:dyDescent="0.25">
      <c r="A36" s="3"/>
      <c r="B36" s="4"/>
      <c r="E36" s="9"/>
      <c r="G36" s="9"/>
      <c r="H36" s="9"/>
      <c r="I36" s="9"/>
      <c r="Q36" t="str">
        <f>IF(D36&gt;0,IF(D36="Unit",CONCATENATE(Settings!P36," ",Settings!D36,"s"),CONCATENATE((Settings!P36/Settings!L36)," ",Settings!D36,"s")),"")</f>
        <v/>
      </c>
    </row>
    <row r="37" spans="1:17" x14ac:dyDescent="0.25">
      <c r="A37" s="3"/>
      <c r="B37" s="4"/>
      <c r="E37" s="9"/>
      <c r="G37" s="9"/>
      <c r="H37" s="9"/>
      <c r="I37" s="9"/>
      <c r="Q37" t="str">
        <f>IF(D37&gt;0,IF(D37="Unit",CONCATENATE(Settings!P37," ",Settings!D37,"s"),CONCATENATE((Settings!P37/Settings!L37)," ",Settings!D37,"s")),"")</f>
        <v/>
      </c>
    </row>
    <row r="38" spans="1:17" x14ac:dyDescent="0.25">
      <c r="A38" s="3"/>
      <c r="B38" s="4"/>
      <c r="E38" s="9"/>
      <c r="G38" s="9"/>
      <c r="H38" s="9"/>
      <c r="I38" s="9"/>
      <c r="Q38" t="str">
        <f>IF(D38&gt;0,IF(D38="Unit",CONCATENATE(Settings!P38," ",Settings!D38,"s"),CONCATENATE((Settings!P38/Settings!L38)," ",Settings!D38,"s")),"")</f>
        <v/>
      </c>
    </row>
    <row r="39" spans="1:17" x14ac:dyDescent="0.25">
      <c r="A39" s="3"/>
      <c r="B39" s="4"/>
      <c r="E39" s="9"/>
      <c r="G39" s="9"/>
      <c r="H39" s="9"/>
      <c r="I39" s="9"/>
      <c r="Q39" t="str">
        <f>IF(D39&gt;0,IF(D39="Unit",CONCATENATE(Settings!P39," ",Settings!D39,"s"),CONCATENATE((Settings!P39/Settings!L39)," ",Settings!D39,"s")),"")</f>
        <v/>
      </c>
    </row>
    <row r="40" spans="1:17" x14ac:dyDescent="0.25">
      <c r="A40" s="3"/>
      <c r="B40" s="4"/>
      <c r="E40" s="9"/>
      <c r="G40" s="9"/>
      <c r="H40" s="9"/>
      <c r="I40" s="9"/>
      <c r="Q40" t="str">
        <f>IF(D40&gt;0,IF(D40="Unit",CONCATENATE(Settings!P40," ",Settings!D40,"s"),CONCATENATE((Settings!P40/Settings!L40)," ",Settings!D40,"s")),"")</f>
        <v/>
      </c>
    </row>
    <row r="41" spans="1:17" x14ac:dyDescent="0.25">
      <c r="A41" s="3"/>
      <c r="B41" s="4"/>
      <c r="E41" s="9"/>
      <c r="G41" s="9"/>
      <c r="H41" s="9"/>
      <c r="I41" s="9"/>
      <c r="Q41" t="str">
        <f>IF(D41&gt;0,IF(D41="Unit",CONCATENATE(Settings!P41," ",Settings!D41,"s"),CONCATENATE((Settings!P41/Settings!L41)," ",Settings!D41,"s")),"")</f>
        <v/>
      </c>
    </row>
    <row r="42" spans="1:17" x14ac:dyDescent="0.25">
      <c r="A42" s="3"/>
      <c r="B42" s="4"/>
      <c r="E42" s="9"/>
      <c r="G42" s="9"/>
      <c r="H42" s="9"/>
      <c r="I42" s="9"/>
      <c r="Q42" t="str">
        <f>IF(D42&gt;0,IF(D42="Unit",CONCATENATE(Settings!P42," ",Settings!D42,"s"),CONCATENATE((Settings!P42/Settings!L42)," ",Settings!D42,"s")),"")</f>
        <v/>
      </c>
    </row>
    <row r="43" spans="1:17" x14ac:dyDescent="0.25">
      <c r="A43" s="3"/>
      <c r="B43" s="4"/>
      <c r="E43" s="9"/>
      <c r="G43" s="9"/>
      <c r="H43" s="9"/>
      <c r="I43" s="9"/>
      <c r="Q43" t="str">
        <f>IF(D43&gt;0,IF(D43="Unit",CONCATENATE(Settings!P43," ",Settings!D43,"s"),CONCATENATE((Settings!P43/Settings!L43)," ",Settings!D43,"s")),"")</f>
        <v/>
      </c>
    </row>
    <row r="44" spans="1:17" x14ac:dyDescent="0.25">
      <c r="A44" s="3"/>
      <c r="B44" s="4"/>
      <c r="E44" s="9"/>
      <c r="G44" s="9"/>
      <c r="H44" s="9"/>
      <c r="I44" s="9"/>
      <c r="Q44" t="str">
        <f>IF(D44&gt;0,IF(D44="Unit",CONCATENATE(Settings!P44," ",Settings!D44,"s"),CONCATENATE((Settings!P44/Settings!L44)," ",Settings!D44,"s")),"")</f>
        <v/>
      </c>
    </row>
    <row r="45" spans="1:17" x14ac:dyDescent="0.25">
      <c r="A45" s="3"/>
      <c r="B45" s="4"/>
      <c r="E45" s="9"/>
      <c r="G45" s="9"/>
      <c r="H45" s="9"/>
      <c r="I45" s="9"/>
      <c r="Q45" t="str">
        <f>IF(D45&gt;0,IF(D45="Unit",CONCATENATE(Settings!P45," ",Settings!D45,"s"),CONCATENATE((Settings!P45/Settings!L45)," ",Settings!D45,"s")),"")</f>
        <v/>
      </c>
    </row>
    <row r="46" spans="1:17" x14ac:dyDescent="0.25">
      <c r="A46" s="3"/>
      <c r="B46" s="4"/>
      <c r="E46" s="9"/>
      <c r="G46" s="9"/>
      <c r="H46" s="9"/>
      <c r="I46" s="9"/>
      <c r="Q46" t="str">
        <f>IF(D46&gt;0,IF(D46="Unit",CONCATENATE(Settings!P46," ",Settings!D46,"s"),CONCATENATE((Settings!P46/Settings!L46)," ",Settings!D46,"s")),"")</f>
        <v/>
      </c>
    </row>
    <row r="47" spans="1:17" x14ac:dyDescent="0.25">
      <c r="A47" s="3"/>
      <c r="B47" s="4"/>
      <c r="E47" s="9"/>
      <c r="G47" s="9"/>
      <c r="H47" s="9"/>
      <c r="I47" s="9"/>
      <c r="Q47" t="str">
        <f>IF(D47&gt;0,IF(D47="Unit",CONCATENATE(Settings!P47," ",Settings!D47,"s"),CONCATENATE((Settings!P47/Settings!L47)," ",Settings!D47,"s")),"")</f>
        <v/>
      </c>
    </row>
    <row r="48" spans="1:17" x14ac:dyDescent="0.25">
      <c r="A48" s="3"/>
      <c r="B48" s="4"/>
      <c r="E48" s="9"/>
      <c r="G48" s="9"/>
      <c r="H48" s="9"/>
      <c r="I48" s="9"/>
      <c r="Q48" t="str">
        <f>IF(D48&gt;0,IF(D48="Unit",CONCATENATE(Settings!P48," ",Settings!D48,"s"),CONCATENATE((Settings!P48/Settings!L48)," ",Settings!D48,"s")),"")</f>
        <v/>
      </c>
    </row>
    <row r="49" spans="1:17" x14ac:dyDescent="0.25">
      <c r="A49" s="3"/>
      <c r="B49" s="4"/>
      <c r="E49" s="9"/>
      <c r="G49" s="9"/>
      <c r="H49" s="9"/>
      <c r="I49" s="9"/>
      <c r="Q49" t="str">
        <f>IF(D49&gt;0,IF(D49="Unit",CONCATENATE(Settings!P49," ",Settings!D49,"s"),CONCATENATE((Settings!P49/Settings!L49)," ",Settings!D49,"s")),"")</f>
        <v/>
      </c>
    </row>
    <row r="50" spans="1:17" x14ac:dyDescent="0.25">
      <c r="A50" s="3"/>
      <c r="B50" s="4"/>
      <c r="E50" s="9"/>
      <c r="G50" s="9"/>
      <c r="H50" s="9"/>
      <c r="I50" s="9"/>
      <c r="Q50" t="str">
        <f>IF(D50&gt;0,IF(D50="Unit",CONCATENATE(Settings!P50," ",Settings!D50,"s"),CONCATENATE((Settings!P50/Settings!L50)," ",Settings!D50,"s")),"")</f>
        <v/>
      </c>
    </row>
    <row r="51" spans="1:17" x14ac:dyDescent="0.25">
      <c r="A51" s="3"/>
      <c r="B51" s="4"/>
      <c r="E51" s="9"/>
      <c r="G51" s="9"/>
      <c r="H51" s="9"/>
      <c r="I51" s="9"/>
      <c r="Q51" t="str">
        <f>IF(D51&gt;0,IF(D51="Unit",CONCATENATE(Settings!P51," ",Settings!D51,"s"),CONCATENATE((Settings!P51/Settings!L51)," ",Settings!D51,"s")),"")</f>
        <v/>
      </c>
    </row>
    <row r="52" spans="1:17" x14ac:dyDescent="0.25">
      <c r="A52" s="5"/>
      <c r="B52" s="6"/>
      <c r="E52" s="9"/>
      <c r="G52" s="9"/>
      <c r="H52" s="9"/>
      <c r="I52" s="9"/>
      <c r="Q52" t="str">
        <f>IF(D52&gt;0,IF(D52="Unit",CONCATENATE(Settings!P52," ",Settings!D52,"s"),CONCATENATE((Settings!P52/Settings!L52)," ",Settings!D52,"s")),"")</f>
        <v/>
      </c>
    </row>
  </sheetData>
  <pageMargins left="0.7" right="0.7" top="0.75" bottom="0.75" header="0.3" footer="0.3"/>
  <pageSetup paperSize="9" orientation="portrait" horizontalDpi="4294967294" verticalDpi="0" r:id="rId1"/>
  <headerFooter>
    <oddFooter>&amp;R_x000D_&amp;1#&amp;"Calibri"&amp;22&amp;KFF8939 RESTRICTED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372E8CCA016418A193AD921508903" ma:contentTypeVersion="9" ma:contentTypeDescription="Create a new document." ma:contentTypeScope="" ma:versionID="f5e922417d740f1a527805650dc2dfa9">
  <xsd:schema xmlns:xsd="http://www.w3.org/2001/XMLSchema" xmlns:xs="http://www.w3.org/2001/XMLSchema" xmlns:p="http://schemas.microsoft.com/office/2006/metadata/properties" xmlns:ns2="399317f3-0083-4d0b-9572-12af99626311" xmlns:ns3="1444eecc-14bb-4066-abe6-ce6de21d9439" targetNamespace="http://schemas.microsoft.com/office/2006/metadata/properties" ma:root="true" ma:fieldsID="078d79524add6eac9b94134ca637184e" ns2:_="" ns3:_="">
    <xsd:import namespace="399317f3-0083-4d0b-9572-12af99626311"/>
    <xsd:import namespace="1444eecc-14bb-4066-abe6-ce6de21d9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317f3-0083-4d0b-9572-12af99626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4eecc-14bb-4066-abe6-ce6de21d943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444eecc-14bb-4066-abe6-ce6de21d943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CF88A1C-AA0D-4F8F-A0FD-6F3FAFCA9D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317f3-0083-4d0b-9572-12af99626311"/>
    <ds:schemaRef ds:uri="1444eecc-14bb-4066-abe6-ce6de21d9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00E6A9-20DD-4842-9306-307EB080AF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E950A-5812-419E-B174-6A5D9B8E0414}">
  <ds:schemaRefs>
    <ds:schemaRef ds:uri="http://schemas.microsoft.com/office/2006/metadata/properties"/>
    <ds:schemaRef ds:uri="http://schemas.microsoft.com/office/infopath/2007/PartnerControls"/>
    <ds:schemaRef ds:uri="1444eecc-14bb-4066-abe6-ce6de21d94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Lemaire Wouter</dc:creator>
  <cp:lastModifiedBy>Kosal Kirthiga</cp:lastModifiedBy>
  <cp:lastPrinted>2021-06-03T08:52:36Z</cp:lastPrinted>
  <dcterms:created xsi:type="dcterms:W3CDTF">2021-05-14T05:44:12Z</dcterms:created>
  <dcterms:modified xsi:type="dcterms:W3CDTF">2023-10-03T11:11:43Z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14163000</vt:r8>
  </property>
  <property fmtid="{D5CDD505-2E9C-101B-9397-08002B2CF9AE}" pid="3" name="ContentTypeId">
    <vt:lpwstr>0x01010075F372E8CCA016418A193AD921508903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MSIP_Label_2c76c141-ac86-40e5-abf2-c6f60e474cee_Enabled">
    <vt:lpwstr>true</vt:lpwstr>
  </property>
  <property fmtid="{D5CDD505-2E9C-101B-9397-08002B2CF9AE}" pid="9" name="MSIP_Label_2c76c141-ac86-40e5-abf2-c6f60e474cee_SetDate">
    <vt:lpwstr>2023-09-28T08:40:02Z</vt:lpwstr>
  </property>
  <property fmtid="{D5CDD505-2E9C-101B-9397-08002B2CF9AE}" pid="10" name="MSIP_Label_2c76c141-ac86-40e5-abf2-c6f60e474cee_Method">
    <vt:lpwstr>Standard</vt:lpwstr>
  </property>
  <property fmtid="{D5CDD505-2E9C-101B-9397-08002B2CF9AE}" pid="11" name="MSIP_Label_2c76c141-ac86-40e5-abf2-c6f60e474cee_Name">
    <vt:lpwstr>2c76c141-ac86-40e5-abf2-c6f60e474cee</vt:lpwstr>
  </property>
  <property fmtid="{D5CDD505-2E9C-101B-9397-08002B2CF9AE}" pid="12" name="MSIP_Label_2c76c141-ac86-40e5-abf2-c6f60e474cee_SiteId">
    <vt:lpwstr>fcb2b37b-5da0-466b-9b83-0014b67a7c78</vt:lpwstr>
  </property>
  <property fmtid="{D5CDD505-2E9C-101B-9397-08002B2CF9AE}" pid="13" name="MSIP_Label_2c76c141-ac86-40e5-abf2-c6f60e474cee_ActionId">
    <vt:lpwstr>88ecdeda-a8e8-499c-ab36-7f15318fb843</vt:lpwstr>
  </property>
  <property fmtid="{D5CDD505-2E9C-101B-9397-08002B2CF9AE}" pid="14" name="MSIP_Label_2c76c141-ac86-40e5-abf2-c6f60e474cee_ContentBits">
    <vt:lpwstr>2</vt:lpwstr>
  </property>
</Properties>
</file>