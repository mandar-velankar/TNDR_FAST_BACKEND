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Documents\Projects\Bayer\fastCAPv2\fastCAP-backend\srv\xlsx-templates\"/>
    </mc:Choice>
  </mc:AlternateContent>
  <xr:revisionPtr revIDLastSave="0" documentId="13_ncr:1_{574BB33B-A00B-40D5-95B7-E9A7917436AB}" xr6:coauthVersionLast="47" xr6:coauthVersionMax="47" xr10:uidLastSave="{00000000-0000-0000-0000-000000000000}"/>
  <bookViews>
    <workbookView xWindow="-108" yWindow="-108" windowWidth="23256" windowHeight="12576" activeTab="1" xr2:uid="{F5CC2154-27BB-4652-B61E-D913F0CC6809}"/>
  </bookViews>
  <sheets>
    <sheet name="Quotation" sheetId="1" r:id="rId1"/>
    <sheet name="Settings" sheetId="2" r:id="rId2"/>
  </sheets>
  <externalReferences>
    <externalReference r:id="rId3"/>
  </externalReferences>
  <definedNames>
    <definedName name="_xlnm.Print_Area" localSheetId="0">Quotation!$B$2:$R$21</definedName>
    <definedName name="_xlnm.Print_Titles" localSheetId="0">Quotation!$2:$13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M14" i="1"/>
  <c r="L14" i="1"/>
  <c r="J14" i="1"/>
  <c r="I14" i="1"/>
  <c r="H14" i="1"/>
  <c r="G14" i="1"/>
  <c r="F14" i="1"/>
  <c r="O14" i="1"/>
  <c r="D14" i="1"/>
  <c r="C14" i="1"/>
  <c r="E14" i="1"/>
  <c r="I11" i="1"/>
  <c r="F11" i="1"/>
  <c r="C11" i="1"/>
  <c r="L8" i="1"/>
  <c r="I8" i="1"/>
  <c r="F8" i="1"/>
  <c r="C8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</calcChain>
</file>

<file path=xl/sharedStrings.xml><?xml version="1.0" encoding="utf-8"?>
<sst xmlns="http://schemas.openxmlformats.org/spreadsheetml/2006/main" count="87" uniqueCount="76">
  <si>
    <t>${offerValidation.INSTITUTENAME}</t>
  </si>
  <si>
    <t>Offer Party</t>
  </si>
  <si>
    <t>Procurement Method</t>
  </si>
  <si>
    <t>!!! Missing from OfferValidation !!!</t>
  </si>
  <si>
    <t>Contract Number</t>
  </si>
  <si>
    <t>Tender Reference</t>
  </si>
  <si>
    <t>Offer Date</t>
  </si>
  <si>
    <t>Offer Validity</t>
  </si>
  <si>
    <t>Shipment Terms</t>
  </si>
  <si>
    <t>Payment Terms</t>
  </si>
  <si>
    <t>Delivery Terms</t>
  </si>
  <si>
    <t>Article Name</t>
  </si>
  <si>
    <t>Qty</t>
  </si>
  <si>
    <t>Pack Factor</t>
  </si>
  <si>
    <t>MSP</t>
  </si>
  <si>
    <t>MSP with VAT</t>
  </si>
  <si>
    <t>Total</t>
  </si>
  <si>
    <t>Total with VAT</t>
  </si>
  <si>
    <t>Samples</t>
  </si>
  <si>
    <t>Origin</t>
  </si>
  <si>
    <t>Contract ID</t>
  </si>
  <si>
    <t>FOC</t>
  </si>
  <si>
    <t>Total Qty</t>
  </si>
  <si>
    <t>NSP</t>
  </si>
  <si>
    <t>${offerValidation.OFFERID}</t>
  </si>
  <si>
    <t>${offerValidation.TENDERID}</t>
  </si>
  <si>
    <t>${offerValidation.OFFERDATE}</t>
  </si>
  <si>
    <t>${offerValidation.OFFERVALIDITY}</t>
  </si>
  <si>
    <t>${offerValidation.DELIVERYTERMS}</t>
  </si>
  <si>
    <t>${offerValidation.PAYMENTTERMS}</t>
  </si>
  <si>
    <t>${offerValidation.SHIPMENTTERMS}</t>
  </si>
  <si>
    <t>${table:offerProductValidation.PRODUCT_UNIT_NAME}</t>
  </si>
  <si>
    <t>${table:offerProductValidation.SKU}</t>
  </si>
  <si>
    <t>${table:offerProductValidation.PACKSIZE}</t>
  </si>
  <si>
    <t>${table:offerProductValidation.SAMPLES}</t>
  </si>
  <si>
    <t>${table:offerProductValidation.COUNTRYOFORIGIN}</t>
  </si>
  <si>
    <t>${table:offerProductValidation.FOC}</t>
  </si>
  <si>
    <t>${table:offerProductValidation.UNIT === 'Unit' ? offerProductValidation.TOTAL_QUANTITY_UNITS + ' ' + offerProductValidation.UNIT + 's' : (offerProductValidation.TOTAL_QUANTITY_UNITS / offerProductValidation.PACKSIZE) + ' ' + offerProductValidation.UNIT + 's'}</t>
  </si>
  <si>
    <t>${table:offerProductValidation.NET_PRICE + ' ' + offerProductValidation.CURRENCY}</t>
  </si>
  <si>
    <t>Total Amount</t>
  </si>
  <si>
    <t>VAT Amount</t>
  </si>
  <si>
    <t>Total Amount with VAT</t>
  </si>
  <si>
    <t>${offerValidation.AMOUNT_IN_NUMBERS + ' ' + offerValidation.CURRENCY}</t>
  </si>
  <si>
    <t>${offerValidation.VAT_TOTAL + ' ' + offerValidation.CURRENCY}</t>
  </si>
  <si>
    <t>${offerValidation.AMOUNT_IN_NUMBERS_VAT + ' ' + offerValidation.CURRENCY}</t>
  </si>
  <si>
    <t>In page: {fastAppData&gt;/EditTender/PROCUREMENT_METHOD_ID} {fastAppData&gt;/EditTender/PROCUREMENT_REASON}</t>
  </si>
  <si>
    <t>${table:offerProductValidation.PAID_VOLUME}</t>
  </si>
  <si>
    <t>${table:offerProductValidation.UNIT}</t>
  </si>
  <si>
    <t>PAID VOLUME</t>
  </si>
  <si>
    <t>UNIT</t>
  </si>
  <si>
    <t>${table:offerProductValidation.OFFER_PRICE}</t>
  </si>
  <si>
    <t>OFFER PRICE</t>
  </si>
  <si>
    <t>${table:offerProductValidation.CURRENCY}</t>
  </si>
  <si>
    <t>CURRENCY</t>
  </si>
  <si>
    <t>OFFER_PRICE_VAT</t>
  </si>
  <si>
    <t>${table:offerProductValidation.OFFER_PRICE_VAT}</t>
  </si>
  <si>
    <t>${table:offerProductValidation.GROSS_SALES_OFFER_CURRENCY}</t>
  </si>
  <si>
    <t>GROSS SALES OFFER CURRENCY</t>
  </si>
  <si>
    <t>${table:offerProductValidation.GROSS_SALES_OFFER_CURRENCY_VAT}</t>
  </si>
  <si>
    <t>GROSS_SALES_OFFER_CURRENCY_VAT</t>
  </si>
  <si>
    <t>${table:offerProductValidation.OFFER_ID}</t>
  </si>
  <si>
    <t>OFFER_ID</t>
  </si>
  <si>
    <t>${table:offerProductValidation.SORTER}</t>
  </si>
  <si>
    <t>SORTER</t>
  </si>
  <si>
    <t>Header fields</t>
  </si>
  <si>
    <t>Description</t>
  </si>
  <si>
    <t>Product table fields</t>
  </si>
  <si>
    <t>SKU CODE</t>
  </si>
  <si>
    <t>Article name</t>
  </si>
  <si>
    <t>Kolom2</t>
  </si>
  <si>
    <t>Kolom3</t>
  </si>
  <si>
    <t>Kolom4</t>
  </si>
  <si>
    <t>Kolom5</t>
  </si>
  <si>
    <t>Kolom6</t>
  </si>
  <si>
    <t>Total Quantity Units</t>
  </si>
  <si>
    <t>${offerProductValidation.TOTAL_QUANTITY_UNITS}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</si>
</sst>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Alignment="1">
      <alignment horizontal="right"/>
    </xf>
    <xf numFmtId="0" fontId="2" fillId="0" borderId="2" xfId="0" applyFont="1" applyFill="1" applyBorder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5" fillId="2" borderId="3" xfId="0" applyFont="1" applyFill="1" applyBorder="1"/>
    <xf numFmtId="0" fontId="5" fillId="2" borderId="4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</cellXfs>
  <cellStyles count="1">
    <cellStyle name="Standaard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552450</xdr:colOff>
      <xdr:row>2</xdr:row>
      <xdr:rowOff>133350</xdr:rowOff>
    </xdr:from>
    <xdr:to>
      <xdr:col>16</xdr:col>
      <xdr:colOff>1348740</xdr:colOff>
      <xdr:row>5</xdr:row>
      <xdr:rowOff>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185028B1-20BB-4225-B9A8-E12CBCF93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545050" y="514350"/>
          <a:ext cx="790575" cy="790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H%20-%20Quotation%20Templat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otation"/>
      <sheetName val="Settings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DC07E-0020-4B51-98A2-ADA62A91E75D}" name="Tabel1" displayName="Tabel1" ref="A1:B13" totalsRowShown="0" headerRowDxfId="1">
  <autoFilter ref="A1:B13" xr:uid="{5B6DC07E-0020-4B51-98A2-ADA62A91E75D}"/>
  <tableColumns count="2">
    <tableColumn id="1" xr3:uid="{22EAB7A2-53F9-497F-A4B5-CA34E48AC441}" name="Header fields"/>
    <tableColumn id="2" xr3:uid="{331DD14B-B263-41D9-B2C5-D198B6F2436E}" name="Description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FFBCB4-83C9-46C5-9D10-EDD296E322D9}" name="Tabel2" displayName="Tabel2" ref="C17:U52" totalsRowShown="0" headerRowDxfId="0">
  <autoFilter ref="C17:U52" xr:uid="{2EFFBCB4-83C9-46C5-9D10-EDD296E322D9}"/>
  <tableColumns count="19">
    <tableColumn id="1" xr3:uid="{6E1F8ECB-E862-46B4-998C-BE8E89C238BA}" name="PAID VOLUME"/>
    <tableColumn id="2" xr3:uid="{6497AF92-63C8-4790-818D-6E5BE819E8D6}" name="UNIT"/>
    <tableColumn id="3" xr3:uid="{A1E59B72-B459-4BFA-9B37-9736C0F03B7E}" name="OFFER PRICE"/>
    <tableColumn id="4" xr3:uid="{1CB5E955-18ED-4738-ACA1-E270D15916F8}" name="CURRENCY"/>
    <tableColumn id="5" xr3:uid="{77EEA9FC-8FC3-433A-9592-47B0D8B4C67B}" name="OFFER_PRICE_VAT"/>
    <tableColumn id="6" xr3:uid="{38030720-EDB2-473C-9CF5-2E9C926DF088}" name="GROSS SALES OFFER CURRENCY"/>
    <tableColumn id="7" xr3:uid="{A1EAF0A4-B4D5-428E-9D86-C12164DF9888}" name="GROSS_SALES_OFFER_CURRENCY_VAT"/>
    <tableColumn id="8" xr3:uid="{06958303-4A18-40AA-8AD0-9A7EEFDCAF3E}" name="OFFER_ID"/>
    <tableColumn id="9" xr3:uid="{A1218AAF-0481-41A2-9C10-3038D1BF8C7D}" name="SORTER"/>
    <tableColumn id="10" xr3:uid="{5A7FFAC3-1C22-44BF-8C52-F3578967B0F3}" name="Pack Factor"/>
    <tableColumn id="11" xr3:uid="{2D111679-3BB3-4B04-986E-34E61AC9B6D1}" name="Samples"/>
    <tableColumn id="12" xr3:uid="{4A42B0A1-255A-4E7E-955E-674BA8AAA444}" name="Origin"/>
    <tableColumn id="13" xr3:uid="{7D1379AA-4B8F-4BC6-9726-365EBAE15341}" name="FOC"/>
    <tableColumn id="14" xr3:uid="{60919350-A915-4D96-86E8-6EAA67F46B7A}" name="Total Quantity Units"/>
    <tableColumn id="15" xr3:uid="{9A98E61E-FFEB-4A07-992A-75C65CF6F3DF}" name="Kolom2">
      <calculatedColumnFormula>IF(D18="Unit",CONCATENATE([1]Settings!P18," ",[1]Settings!D18,"s"),CONCATENATE(([1]Settings!P18/[1]Settings!L18)," ",[1]Settings!D18,"s"))</calculatedColumnFormula>
    </tableColumn>
    <tableColumn id="16" xr3:uid="{369C0BDC-37AF-4A57-8887-DE7CB381634E}" name="Kolom3"/>
    <tableColumn id="17" xr3:uid="{AD44F4BF-5DA1-4716-B99F-BDA6C22A0C17}" name="Kolom4"/>
    <tableColumn id="18" xr3:uid="{046C7515-06DF-4150-BFFE-F428110D069A}" name="Kolom5"/>
    <tableColumn id="19" xr3:uid="{F5DEE82A-D39C-4398-A7A1-5F55B4E61269}" name="Kolom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ayer 2017">
      <a:dk1>
        <a:srgbClr val="000000"/>
      </a:dk1>
      <a:lt1>
        <a:srgbClr val="FFFFFF"/>
      </a:lt1>
      <a:dk2>
        <a:srgbClr val="FF3162"/>
      </a:dk2>
      <a:lt2>
        <a:srgbClr val="624963"/>
      </a:lt2>
      <a:accent1>
        <a:srgbClr val="10384F"/>
      </a:accent1>
      <a:accent2>
        <a:srgbClr val="00BCFF"/>
      </a:accent2>
      <a:accent3>
        <a:srgbClr val="004422"/>
      </a:accent3>
      <a:accent4>
        <a:srgbClr val="89D329"/>
      </a:accent4>
      <a:accent5>
        <a:srgbClr val="443247"/>
      </a:accent5>
      <a:accent6>
        <a:srgbClr val="D30F4B"/>
      </a:accent6>
      <a:hlink>
        <a:srgbClr val="00BCFF"/>
      </a:hlink>
      <a:folHlink>
        <a:srgbClr val="10384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731A-D70B-4034-AE07-DF495FD0B95B}">
  <dimension ref="C3:Q36"/>
  <sheetViews>
    <sheetView topLeftCell="D1" workbookViewId="0">
      <selection activeCell="E23" sqref="E23"/>
    </sheetView>
  </sheetViews>
  <sheetFormatPr defaultRowHeight="14.4" x14ac:dyDescent="0.3"/>
  <cols>
    <col min="1" max="2" width="2.6640625" customWidth="1"/>
    <col min="3" max="3" width="19.109375" customWidth="1"/>
    <col min="4" max="4" width="24.33203125" customWidth="1"/>
    <col min="5" max="5" width="21.88671875" customWidth="1"/>
    <col min="6" max="6" width="15.5546875" customWidth="1"/>
    <col min="7" max="10" width="20.6640625" customWidth="1"/>
    <col min="16" max="17" width="20.6640625" customWidth="1"/>
    <col min="18" max="18" width="2.6640625" customWidth="1"/>
  </cols>
  <sheetData>
    <row r="3" spans="3:17" ht="28.8" x14ac:dyDescent="0.3">
      <c r="C3" s="3" t="s">
        <v>1</v>
      </c>
      <c r="D3" s="4" t="s">
        <v>0</v>
      </c>
    </row>
    <row r="5" spans="3:17" ht="28.8" x14ac:dyDescent="0.3">
      <c r="C5" s="3" t="s">
        <v>2</v>
      </c>
      <c r="D5" s="10" t="s">
        <v>3</v>
      </c>
      <c r="E5" s="11" t="s">
        <v>45</v>
      </c>
    </row>
    <row r="6" spans="3:17" x14ac:dyDescent="0.3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3:17" x14ac:dyDescent="0.3">
      <c r="C7" s="1" t="s">
        <v>4</v>
      </c>
      <c r="F7" s="1" t="s">
        <v>5</v>
      </c>
      <c r="I7" s="1" t="s">
        <v>6</v>
      </c>
      <c r="L7" s="1" t="s">
        <v>7</v>
      </c>
    </row>
    <row r="8" spans="3:17" x14ac:dyDescent="0.3">
      <c r="C8" s="21" t="str">
        <f>Settings!A2</f>
        <v>${offerValidation.OFFERID}</v>
      </c>
      <c r="D8" s="21"/>
      <c r="E8" s="21"/>
      <c r="F8" s="20" t="str">
        <f>Settings!A3</f>
        <v>${offerValidation.TENDERID}</v>
      </c>
      <c r="G8" s="20"/>
      <c r="H8" s="20"/>
      <c r="I8" s="20" t="str">
        <f>Settings!A4</f>
        <v>${offerValidation.OFFERDATE}</v>
      </c>
      <c r="J8" s="20"/>
      <c r="K8" s="20"/>
      <c r="L8" s="20" t="str">
        <f>Settings!A5</f>
        <v>${offerValidation.OFFERVALIDITY}</v>
      </c>
      <c r="M8" s="20"/>
      <c r="N8" s="20"/>
    </row>
    <row r="9" spans="3:17" x14ac:dyDescent="0.3">
      <c r="C9" s="6"/>
      <c r="D9" s="6"/>
      <c r="E9" s="6"/>
      <c r="F9" s="7"/>
      <c r="G9" s="7"/>
      <c r="H9" s="7"/>
      <c r="I9" s="7"/>
      <c r="J9" s="7"/>
      <c r="K9" s="7"/>
      <c r="L9" s="7"/>
      <c r="M9" s="7"/>
      <c r="N9" s="7"/>
      <c r="O9" s="5"/>
      <c r="P9" s="5"/>
      <c r="Q9" s="5"/>
    </row>
    <row r="10" spans="3:17" x14ac:dyDescent="0.3">
      <c r="C10" s="1" t="s">
        <v>8</v>
      </c>
      <c r="F10" s="1" t="s">
        <v>9</v>
      </c>
      <c r="I10" s="1" t="s">
        <v>10</v>
      </c>
    </row>
    <row r="11" spans="3:17" x14ac:dyDescent="0.3">
      <c r="C11" s="22" t="str">
        <f>Settings!A6</f>
        <v>${offerValidation.SHIPMENTTERMS}</v>
      </c>
      <c r="D11" s="22"/>
      <c r="E11" s="22"/>
      <c r="F11" s="22" t="str">
        <f>Settings!A7</f>
        <v>${offerValidation.PAYMENTTERMS}</v>
      </c>
      <c r="G11" s="22"/>
      <c r="H11" s="22"/>
      <c r="I11" s="22" t="str">
        <f>Settings!A8</f>
        <v>${offerValidation.DELIVERYTERMS}</v>
      </c>
      <c r="J11" s="22"/>
      <c r="K11" s="22"/>
    </row>
    <row r="12" spans="3:17" ht="15" thickBot="1" x14ac:dyDescent="0.35"/>
    <row r="13" spans="3:17" ht="15" thickBot="1" x14ac:dyDescent="0.35">
      <c r="C13" s="9"/>
      <c r="D13" s="9" t="s">
        <v>11</v>
      </c>
      <c r="E13" s="9" t="s">
        <v>12</v>
      </c>
      <c r="F13" s="9" t="s">
        <v>13</v>
      </c>
      <c r="G13" s="9" t="s">
        <v>14</v>
      </c>
      <c r="H13" s="9" t="s">
        <v>15</v>
      </c>
      <c r="I13" s="9" t="s">
        <v>16</v>
      </c>
      <c r="J13" s="9" t="s">
        <v>17</v>
      </c>
      <c r="L13" s="9" t="s">
        <v>18</v>
      </c>
      <c r="M13" s="9" t="s">
        <v>19</v>
      </c>
      <c r="N13" s="9" t="s">
        <v>20</v>
      </c>
      <c r="O13" s="9" t="s">
        <v>21</v>
      </c>
      <c r="P13" s="9" t="s">
        <v>22</v>
      </c>
      <c r="Q13" s="9" t="s">
        <v>23</v>
      </c>
    </row>
    <row r="14" spans="3:17" x14ac:dyDescent="0.3">
      <c r="C14" t="str">
        <f>Settings!A18</f>
        <v>${table:offerProductValidation.SKU}</v>
      </c>
      <c r="D14" t="str">
        <f>Settings!B18</f>
        <v>${table:offerProductValidation.PRODUCT_UNIT_NAME}</v>
      </c>
      <c r="E14" t="str">
        <f>IF(CONCATENATE(Settings!C18," ",Settings!D18,"s")=" s"," ",CONCATENATE(Settings!C18," ",Settings!D18,"s"))</f>
        <v>${table:offerProductValidation.PAID_VOLUME} ${table:offerProductValidation.UNIT}s</v>
      </c>
      <c r="F14" t="str">
        <f>Settings!L18</f>
        <v>${table:offerProductValidation.PACKSIZE}</v>
      </c>
      <c r="G14" t="str">
        <f>CONCATENATE(Settings!E18," ",Settings!F18)</f>
        <v>${table:offerProductValidation.OFFER_PRICE} ${table:offerProductValidation.CURRENCY}</v>
      </c>
      <c r="H14" t="str">
        <f>CONCATENATE(Settings!G18," ",Settings!F18)</f>
        <v>${table:offerProductValidation.OFFER_PRICE_VAT} ${table:offerProductValidation.CURRENCY}</v>
      </c>
      <c r="I14" t="str">
        <f>CONCATENATE(Settings!H18," ",Settings!F18)</f>
        <v>${table:offerProductValidation.GROSS_SALES_OFFER_CURRENCY} ${table:offerProductValidation.CURRENCY}</v>
      </c>
      <c r="J14" t="str">
        <f>CONCATENATE(Settings!I18," ",Settings!F18)</f>
        <v>${table:offerProductValidation.GROSS_SALES_OFFER_CURRENCY_VAT} ${table:offerProductValidation.CURRENCY}</v>
      </c>
      <c r="L14" t="str">
        <f>Settings!M18</f>
        <v>${table:offerProductValidation.SAMPLES}</v>
      </c>
      <c r="M14" t="str">
        <f>Settings!N18</f>
        <v>${table:offerProductValidation.COUNTRYOFORIGIN}</v>
      </c>
      <c r="N14" t="str">
        <f>IF(CONCATENATE(Settings!J18,"-",Settings!K18) = "-","",CONCATENATE(Settings!J18,"-",Settings!K18))</f>
        <v>${table:offerProductValidation.OFFER_ID}-${table:offerProductValidation.SORTER}</v>
      </c>
      <c r="O14" t="str">
        <f>Settings!O18</f>
        <v>${table:offerProductValidation.FOC}</v>
      </c>
      <c r="P14" t="s">
        <v>37</v>
      </c>
      <c r="Q14" t="s">
        <v>38</v>
      </c>
    </row>
    <row r="15" spans="3:17" x14ac:dyDescent="0.3">
      <c r="E15" t="str">
        <f>IF(CONCATENATE(Quotation!C67," ",Quotation!D67,"s")=" s"," ",CONCATENATE(Quotation!C67," ",Quotation!D67,"s"))</f>
        <v xml:space="preserve"> </v>
      </c>
      <c r="G15" t="str">
        <f t="shared" ref="G15:G34" si="0">CONCATENATE(E67," ",F67)</f>
        <v xml:space="preserve"> </v>
      </c>
      <c r="H15" t="str">
        <f t="shared" ref="H15:H35" si="1">CONCATENATE(G67," ",F67)</f>
        <v xml:space="preserve"> </v>
      </c>
      <c r="I15" t="str">
        <f t="shared" ref="I15:I35" si="2">CONCATENATE(H67," ",F67)</f>
        <v xml:space="preserve"> </v>
      </c>
      <c r="J15" t="str">
        <f t="shared" ref="J15:J34" si="3">CONCATENATE(I67," ",F67)</f>
        <v xml:space="preserve"> </v>
      </c>
      <c r="N15" t="str">
        <f t="shared" ref="N15:N33" si="4">IF(CONCATENATE(J67,"-",K67) = "-","",CONCATENATE(J67,"-",K67))</f>
        <v/>
      </c>
    </row>
    <row r="16" spans="3:17" x14ac:dyDescent="0.3">
      <c r="E16" t="str">
        <f>IF(CONCATENATE(Quotation!C68," ",Quotation!D68,"s")=" s"," ",CONCATENATE(Quotation!C68," ",Quotation!D68,"s"))</f>
        <v xml:space="preserve"> </v>
      </c>
      <c r="G16" t="str">
        <f t="shared" si="0"/>
        <v xml:space="preserve"> </v>
      </c>
      <c r="H16" t="str">
        <f t="shared" si="1"/>
        <v xml:space="preserve"> </v>
      </c>
      <c r="I16" t="str">
        <f t="shared" si="2"/>
        <v xml:space="preserve"> </v>
      </c>
      <c r="J16" t="str">
        <f t="shared" si="3"/>
        <v xml:space="preserve"> </v>
      </c>
      <c r="N16" t="str">
        <f t="shared" si="4"/>
        <v/>
      </c>
      <c r="P16" s="2" t="s">
        <v>39</v>
      </c>
      <c r="Q16" t="s">
        <v>42</v>
      </c>
    </row>
    <row r="17" spans="5:17" x14ac:dyDescent="0.3">
      <c r="E17" t="str">
        <f>IF(CONCATENATE(Quotation!C69," ",Quotation!D69,"s")=" s"," ",CONCATENATE(Quotation!C69," ",Quotation!D69,"s"))</f>
        <v xml:space="preserve"> </v>
      </c>
      <c r="G17" t="str">
        <f t="shared" si="0"/>
        <v xml:space="preserve"> </v>
      </c>
      <c r="H17" t="str">
        <f t="shared" si="1"/>
        <v xml:space="preserve"> </v>
      </c>
      <c r="I17" t="str">
        <f t="shared" si="2"/>
        <v xml:space="preserve"> </v>
      </c>
      <c r="J17" t="str">
        <f t="shared" si="3"/>
        <v xml:space="preserve"> </v>
      </c>
      <c r="N17" t="str">
        <f t="shared" si="4"/>
        <v/>
      </c>
      <c r="P17" s="8"/>
    </row>
    <row r="18" spans="5:17" x14ac:dyDescent="0.3">
      <c r="E18" t="str">
        <f>IF(CONCATENATE(Quotation!C70," ",Quotation!D70,"s")=" s"," ",CONCATENATE(Quotation!C70," ",Quotation!D70,"s"))</f>
        <v xml:space="preserve"> </v>
      </c>
      <c r="G18" t="str">
        <f t="shared" si="0"/>
        <v xml:space="preserve"> </v>
      </c>
      <c r="H18" t="str">
        <f t="shared" si="1"/>
        <v xml:space="preserve"> </v>
      </c>
      <c r="I18" t="str">
        <f t="shared" si="2"/>
        <v xml:space="preserve"> </v>
      </c>
      <c r="J18" t="str">
        <f t="shared" si="3"/>
        <v xml:space="preserve"> </v>
      </c>
      <c r="N18" t="str">
        <f t="shared" si="4"/>
        <v/>
      </c>
      <c r="P18" s="2" t="s">
        <v>40</v>
      </c>
      <c r="Q18" t="s">
        <v>43</v>
      </c>
    </row>
    <row r="19" spans="5:17" x14ac:dyDescent="0.3">
      <c r="E19" t="str">
        <f>IF(CONCATENATE(Quotation!C71," ",Quotation!D71,"s")=" s"," ",CONCATENATE(Quotation!C71," ",Quotation!D71,"s"))</f>
        <v xml:space="preserve"> </v>
      </c>
      <c r="G19" t="str">
        <f t="shared" si="0"/>
        <v xml:space="preserve"> </v>
      </c>
      <c r="H19" t="str">
        <f t="shared" si="1"/>
        <v xml:space="preserve"> </v>
      </c>
      <c r="I19" t="str">
        <f t="shared" si="2"/>
        <v xml:space="preserve"> </v>
      </c>
      <c r="J19" t="str">
        <f t="shared" si="3"/>
        <v xml:space="preserve"> </v>
      </c>
      <c r="N19" t="str">
        <f t="shared" si="4"/>
        <v/>
      </c>
      <c r="P19" s="8"/>
    </row>
    <row r="20" spans="5:17" x14ac:dyDescent="0.3">
      <c r="E20" t="str">
        <f>IF(CONCATENATE(Quotation!C72," ",Quotation!D72,"s")=" s"," ",CONCATENATE(Quotation!C72," ",Quotation!D72,"s"))</f>
        <v xml:space="preserve"> </v>
      </c>
      <c r="G20" t="str">
        <f t="shared" si="0"/>
        <v xml:space="preserve"> </v>
      </c>
      <c r="H20" t="str">
        <f t="shared" si="1"/>
        <v xml:space="preserve"> </v>
      </c>
      <c r="I20" t="str">
        <f t="shared" si="2"/>
        <v xml:space="preserve"> </v>
      </c>
      <c r="J20" t="str">
        <f t="shared" si="3"/>
        <v xml:space="preserve"> </v>
      </c>
      <c r="N20" t="str">
        <f t="shared" si="4"/>
        <v/>
      </c>
      <c r="P20" s="2" t="s">
        <v>41</v>
      </c>
      <c r="Q20" t="s">
        <v>44</v>
      </c>
    </row>
    <row r="21" spans="5:17" x14ac:dyDescent="0.3">
      <c r="E21" t="str">
        <f>IF(CONCATENATE(Quotation!C73," ",Quotation!D73,"s")=" s"," ",CONCATENATE(Quotation!C73," ",Quotation!D73,"s"))</f>
        <v xml:space="preserve"> </v>
      </c>
      <c r="G21" t="str">
        <f t="shared" si="0"/>
        <v xml:space="preserve"> </v>
      </c>
      <c r="H21" t="str">
        <f t="shared" si="1"/>
        <v xml:space="preserve"> </v>
      </c>
      <c r="I21" t="str">
        <f t="shared" si="2"/>
        <v xml:space="preserve"> </v>
      </c>
      <c r="J21" t="str">
        <f t="shared" si="3"/>
        <v xml:space="preserve"> </v>
      </c>
      <c r="N21" t="str">
        <f t="shared" si="4"/>
        <v/>
      </c>
    </row>
    <row r="22" spans="5:17" x14ac:dyDescent="0.3">
      <c r="E22" t="str">
        <f>IF(CONCATENATE(Quotation!C74," ",Quotation!D74,"s")=" s"," ",CONCATENATE(Quotation!C74," ",Quotation!D74,"s"))</f>
        <v xml:space="preserve"> </v>
      </c>
      <c r="G22" t="str">
        <f t="shared" si="0"/>
        <v xml:space="preserve"> </v>
      </c>
      <c r="H22" t="str">
        <f t="shared" si="1"/>
        <v xml:space="preserve"> </v>
      </c>
      <c r="I22" t="str">
        <f t="shared" si="2"/>
        <v xml:space="preserve"> </v>
      </c>
      <c r="J22" t="str">
        <f t="shared" si="3"/>
        <v xml:space="preserve"> </v>
      </c>
      <c r="N22" t="str">
        <f t="shared" si="4"/>
        <v/>
      </c>
    </row>
    <row r="23" spans="5:17" x14ac:dyDescent="0.3">
      <c r="E23" t="str">
        <f>IF(CONCATENATE(Quotation!C75," ",Quotation!D75,"s")=" s"," ",CONCATENATE(Quotation!C75," ",Quotation!D75,"s"))</f>
        <v xml:space="preserve"> </v>
      </c>
      <c r="G23" t="str">
        <f t="shared" si="0"/>
        <v xml:space="preserve"> </v>
      </c>
      <c r="H23" t="str">
        <f t="shared" si="1"/>
        <v xml:space="preserve"> </v>
      </c>
      <c r="I23" t="str">
        <f t="shared" si="2"/>
        <v xml:space="preserve"> </v>
      </c>
      <c r="J23" t="str">
        <f t="shared" si="3"/>
        <v xml:space="preserve"> </v>
      </c>
      <c r="N23" t="str">
        <f t="shared" si="4"/>
        <v/>
      </c>
    </row>
    <row r="24" spans="5:17" x14ac:dyDescent="0.3">
      <c r="E24" t="str">
        <f>IF(CONCATENATE(Quotation!C76," ",Quotation!D76,"s")=" s"," ",CONCATENATE(Quotation!C76," ",Quotation!D76,"s"))</f>
        <v xml:space="preserve"> </v>
      </c>
      <c r="G24" t="str">
        <f t="shared" si="0"/>
        <v xml:space="preserve"> </v>
      </c>
      <c r="H24" t="str">
        <f t="shared" si="1"/>
        <v xml:space="preserve"> </v>
      </c>
      <c r="I24" t="str">
        <f t="shared" si="2"/>
        <v xml:space="preserve"> </v>
      </c>
      <c r="J24" t="str">
        <f t="shared" si="3"/>
        <v xml:space="preserve"> </v>
      </c>
      <c r="N24" t="str">
        <f t="shared" si="4"/>
        <v/>
      </c>
    </row>
    <row r="25" spans="5:17" x14ac:dyDescent="0.3">
      <c r="E25" t="str">
        <f>IF(CONCATENATE(Quotation!C77," ",Quotation!D77,"s")=" s"," ",CONCATENATE(Quotation!C77," ",Quotation!D77,"s"))</f>
        <v xml:space="preserve"> </v>
      </c>
      <c r="G25" t="str">
        <f t="shared" si="0"/>
        <v xml:space="preserve"> </v>
      </c>
      <c r="H25" t="str">
        <f t="shared" si="1"/>
        <v xml:space="preserve"> </v>
      </c>
      <c r="I25" t="str">
        <f t="shared" si="2"/>
        <v xml:space="preserve"> </v>
      </c>
      <c r="J25" t="str">
        <f t="shared" si="3"/>
        <v xml:space="preserve"> </v>
      </c>
      <c r="N25" t="str">
        <f t="shared" si="4"/>
        <v/>
      </c>
    </row>
    <row r="26" spans="5:17" x14ac:dyDescent="0.3">
      <c r="E26" t="str">
        <f>IF(CONCATENATE(Quotation!C78," ",Quotation!D78,"s")=" s"," ",CONCATENATE(Quotation!C78," ",Quotation!D78,"s"))</f>
        <v xml:space="preserve"> </v>
      </c>
      <c r="G26" t="str">
        <f t="shared" si="0"/>
        <v xml:space="preserve"> </v>
      </c>
      <c r="H26" t="str">
        <f t="shared" si="1"/>
        <v xml:space="preserve"> </v>
      </c>
      <c r="I26" t="str">
        <f t="shared" si="2"/>
        <v xml:space="preserve"> </v>
      </c>
      <c r="J26" t="str">
        <f t="shared" si="3"/>
        <v xml:space="preserve"> </v>
      </c>
      <c r="N26" t="str">
        <f t="shared" si="4"/>
        <v/>
      </c>
    </row>
    <row r="27" spans="5:17" x14ac:dyDescent="0.3">
      <c r="E27" t="str">
        <f>IF(CONCATENATE(Quotation!C79," ",Quotation!D79,"s")=" s"," ",CONCATENATE(Quotation!C79," ",Quotation!D79,"s"))</f>
        <v xml:space="preserve"> </v>
      </c>
      <c r="G27" t="str">
        <f t="shared" si="0"/>
        <v xml:space="preserve"> </v>
      </c>
      <c r="H27" t="str">
        <f t="shared" si="1"/>
        <v xml:space="preserve"> </v>
      </c>
      <c r="I27" t="str">
        <f t="shared" si="2"/>
        <v xml:space="preserve"> </v>
      </c>
      <c r="J27" t="str">
        <f t="shared" si="3"/>
        <v xml:space="preserve"> </v>
      </c>
      <c r="N27" t="str">
        <f t="shared" si="4"/>
        <v/>
      </c>
    </row>
    <row r="28" spans="5:17" x14ac:dyDescent="0.3">
      <c r="E28" t="str">
        <f>IF(CONCATENATE(Quotation!C80," ",Quotation!D80,"s")=" s"," ",CONCATENATE(Quotation!C80," ",Quotation!D80,"s"))</f>
        <v xml:space="preserve"> </v>
      </c>
      <c r="G28" t="str">
        <f t="shared" si="0"/>
        <v xml:space="preserve"> </v>
      </c>
      <c r="H28" t="str">
        <f t="shared" si="1"/>
        <v xml:space="preserve"> </v>
      </c>
      <c r="I28" t="str">
        <f t="shared" si="2"/>
        <v xml:space="preserve"> </v>
      </c>
      <c r="J28" t="str">
        <f t="shared" si="3"/>
        <v xml:space="preserve"> </v>
      </c>
      <c r="N28" t="str">
        <f t="shared" si="4"/>
        <v/>
      </c>
    </row>
    <row r="29" spans="5:17" x14ac:dyDescent="0.3">
      <c r="E29" t="str">
        <f>IF(CONCATENATE(Quotation!C81," ",Quotation!D81,"s")=" s"," ",CONCATENATE(Quotation!C81," ",Quotation!D81,"s"))</f>
        <v xml:space="preserve"> </v>
      </c>
      <c r="G29" t="str">
        <f t="shared" si="0"/>
        <v xml:space="preserve"> </v>
      </c>
      <c r="H29" t="str">
        <f t="shared" si="1"/>
        <v xml:space="preserve"> </v>
      </c>
      <c r="I29" t="str">
        <f t="shared" si="2"/>
        <v xml:space="preserve"> </v>
      </c>
      <c r="J29" t="str">
        <f t="shared" si="3"/>
        <v xml:space="preserve"> </v>
      </c>
      <c r="N29" t="str">
        <f t="shared" si="4"/>
        <v/>
      </c>
    </row>
    <row r="30" spans="5:17" x14ac:dyDescent="0.3">
      <c r="E30" t="str">
        <f>IF(CONCATENATE(Quotation!C82," ",Quotation!D82,"s")=" s"," ",CONCATENATE(Quotation!C82," ",Quotation!D82,"s"))</f>
        <v xml:space="preserve"> </v>
      </c>
      <c r="G30" t="str">
        <f t="shared" si="0"/>
        <v xml:space="preserve"> </v>
      </c>
      <c r="H30" t="str">
        <f t="shared" si="1"/>
        <v xml:space="preserve"> </v>
      </c>
      <c r="I30" t="str">
        <f t="shared" si="2"/>
        <v xml:space="preserve"> </v>
      </c>
      <c r="J30" t="str">
        <f t="shared" si="3"/>
        <v xml:space="preserve"> </v>
      </c>
      <c r="N30" t="str">
        <f t="shared" si="4"/>
        <v/>
      </c>
    </row>
    <row r="31" spans="5:17" x14ac:dyDescent="0.3">
      <c r="E31" t="str">
        <f>IF(CONCATENATE(Quotation!C83," ",Quotation!D83,"s")=" s"," ",CONCATENATE(Quotation!C83," ",Quotation!D83,"s"))</f>
        <v xml:space="preserve"> </v>
      </c>
      <c r="G31" t="str">
        <f t="shared" si="0"/>
        <v xml:space="preserve"> </v>
      </c>
      <c r="H31" t="str">
        <f t="shared" si="1"/>
        <v xml:space="preserve"> </v>
      </c>
      <c r="I31" t="str">
        <f t="shared" si="2"/>
        <v xml:space="preserve"> </v>
      </c>
      <c r="J31" t="str">
        <f t="shared" si="3"/>
        <v xml:space="preserve"> </v>
      </c>
      <c r="N31" t="str">
        <f t="shared" si="4"/>
        <v/>
      </c>
    </row>
    <row r="32" spans="5:17" x14ac:dyDescent="0.3">
      <c r="E32" t="str">
        <f>IF(CONCATENATE(Quotation!C84," ",Quotation!D84,"s")=" s"," ",CONCATENATE(Quotation!C84," ",Quotation!D84,"s"))</f>
        <v xml:space="preserve"> </v>
      </c>
      <c r="G32" t="str">
        <f t="shared" si="0"/>
        <v xml:space="preserve"> </v>
      </c>
      <c r="H32" t="str">
        <f t="shared" si="1"/>
        <v xml:space="preserve"> </v>
      </c>
      <c r="I32" t="str">
        <f t="shared" si="2"/>
        <v xml:space="preserve"> </v>
      </c>
      <c r="J32" t="str">
        <f t="shared" si="3"/>
        <v xml:space="preserve"> </v>
      </c>
      <c r="N32" t="str">
        <f t="shared" si="4"/>
        <v/>
      </c>
    </row>
    <row r="33" spans="5:14" x14ac:dyDescent="0.3">
      <c r="E33" t="str">
        <f>IF(CONCATENATE(Quotation!C85," ",Quotation!D85,"s")=" s"," ",CONCATENATE(Quotation!C85," ",Quotation!D85,"s"))</f>
        <v xml:space="preserve"> </v>
      </c>
      <c r="G33" t="str">
        <f t="shared" si="0"/>
        <v xml:space="preserve"> </v>
      </c>
      <c r="H33" t="str">
        <f t="shared" si="1"/>
        <v xml:space="preserve"> </v>
      </c>
      <c r="I33" t="str">
        <f t="shared" si="2"/>
        <v xml:space="preserve"> </v>
      </c>
      <c r="J33" t="str">
        <f t="shared" si="3"/>
        <v xml:space="preserve"> </v>
      </c>
      <c r="N33" t="str">
        <f t="shared" si="4"/>
        <v/>
      </c>
    </row>
    <row r="34" spans="5:14" x14ac:dyDescent="0.3">
      <c r="E34" t="str">
        <f>IF(CONCATENATE(Quotation!C86," ",Quotation!D86,"s")=" s"," ",CONCATENATE(Quotation!C86," ",Quotation!D86,"s"))</f>
        <v xml:space="preserve"> </v>
      </c>
      <c r="G34" t="str">
        <f t="shared" si="0"/>
        <v xml:space="preserve"> </v>
      </c>
      <c r="H34" t="str">
        <f t="shared" si="1"/>
        <v xml:space="preserve"> </v>
      </c>
      <c r="I34" t="str">
        <f t="shared" si="2"/>
        <v xml:space="preserve"> </v>
      </c>
      <c r="J34" t="str">
        <f t="shared" si="3"/>
        <v xml:space="preserve"> </v>
      </c>
    </row>
    <row r="35" spans="5:14" x14ac:dyDescent="0.3">
      <c r="E35" t="str">
        <f>IF(CONCATENATE(Quotation!C87," ",Quotation!D87,"s")=" s"," ",CONCATENATE(Quotation!C87," ",Quotation!D87,"s"))</f>
        <v xml:space="preserve"> </v>
      </c>
      <c r="H35" t="str">
        <f t="shared" si="1"/>
        <v xml:space="preserve"> </v>
      </c>
      <c r="I35" t="str">
        <f t="shared" si="2"/>
        <v xml:space="preserve"> </v>
      </c>
    </row>
    <row r="36" spans="5:14" x14ac:dyDescent="0.3">
      <c r="E36" t="str">
        <f>IF(CONCATENATE(Quotation!C88," ",Quotation!D88,"s")=" s"," ",CONCATENATE(Quotation!C88," ",Quotation!D88,"s"))</f>
        <v xml:space="preserve"> </v>
      </c>
    </row>
  </sheetData>
  <mergeCells count="7">
    <mergeCell ref="L8:N8"/>
    <mergeCell ref="C8:E8"/>
    <mergeCell ref="C11:E11"/>
    <mergeCell ref="F8:H8"/>
    <mergeCell ref="F11:H11"/>
    <mergeCell ref="I8:K8"/>
    <mergeCell ref="I11:K11"/>
  </mergeCells>
  <pageMargins left="0.70866141732283472" right="0.70866141732283472" top="0.74803149606299213" bottom="0.74803149606299213" header="0.31496062992125984" footer="0.31496062992125984"/>
  <pageSetup paperSize="9" scale="51" orientation="landscape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ADA0-6CEF-4001-8243-A13FFD1BF3BE}">
  <dimension ref="A1:U52"/>
  <sheetViews>
    <sheetView tabSelected="1" topLeftCell="J3" zoomScale="55" zoomScaleNormal="55" workbookViewId="0">
      <selection activeCell="P24" sqref="P24"/>
    </sheetView>
  </sheetViews>
  <sheetFormatPr defaultRowHeight="14.4" x14ac:dyDescent="0.3"/>
  <cols>
    <col min="1" max="1" width="43.5546875" bestFit="1" customWidth="1"/>
    <col min="2" max="2" width="34.6640625" bestFit="1" customWidth="1"/>
    <col min="3" max="3" width="47.33203125" bestFit="1" customWidth="1"/>
    <col min="4" max="4" width="36.77734375" bestFit="1" customWidth="1"/>
    <col min="5" max="5" width="46.6640625" bestFit="1" customWidth="1"/>
    <col min="6" max="6" width="44.33203125" bestFit="1" customWidth="1"/>
    <col min="7" max="7" width="52.33203125" bestFit="1" customWidth="1"/>
    <col min="8" max="8" width="69.33203125" bestFit="1" customWidth="1"/>
    <col min="9" max="9" width="75.44140625" bestFit="1" customWidth="1"/>
    <col min="10" max="10" width="42.33203125" bestFit="1" customWidth="1"/>
    <col min="11" max="11" width="40.5546875" bestFit="1" customWidth="1"/>
    <col min="12" max="12" width="42.109375" bestFit="1" customWidth="1"/>
    <col min="13" max="13" width="41.77734375" bestFit="1" customWidth="1"/>
    <col min="14" max="14" width="52.88671875" bestFit="1" customWidth="1"/>
    <col min="15" max="15" width="36.21875" bestFit="1" customWidth="1"/>
    <col min="16" max="16" width="52" bestFit="1" customWidth="1"/>
    <col min="17" max="17" width="21.21875" customWidth="1"/>
  </cols>
  <sheetData>
    <row r="1" spans="1:2" x14ac:dyDescent="0.3">
      <c r="A1" s="12" t="s">
        <v>64</v>
      </c>
      <c r="B1" s="12" t="s">
        <v>65</v>
      </c>
    </row>
    <row r="2" spans="1:2" x14ac:dyDescent="0.3">
      <c r="A2" t="s">
        <v>24</v>
      </c>
      <c r="B2" t="s">
        <v>4</v>
      </c>
    </row>
    <row r="3" spans="1:2" x14ac:dyDescent="0.3">
      <c r="A3" t="s">
        <v>25</v>
      </c>
      <c r="B3" t="s">
        <v>5</v>
      </c>
    </row>
    <row r="4" spans="1:2" x14ac:dyDescent="0.3">
      <c r="A4" t="s">
        <v>26</v>
      </c>
      <c r="B4" t="s">
        <v>6</v>
      </c>
    </row>
    <row r="5" spans="1:2" x14ac:dyDescent="0.3">
      <c r="A5" t="s">
        <v>27</v>
      </c>
      <c r="B5" t="s">
        <v>7</v>
      </c>
    </row>
    <row r="6" spans="1:2" x14ac:dyDescent="0.3">
      <c r="A6" t="s">
        <v>30</v>
      </c>
      <c r="B6" t="s">
        <v>8</v>
      </c>
    </row>
    <row r="7" spans="1:2" x14ac:dyDescent="0.3">
      <c r="A7" t="s">
        <v>29</v>
      </c>
      <c r="B7" t="s">
        <v>9</v>
      </c>
    </row>
    <row r="8" spans="1:2" x14ac:dyDescent="0.3">
      <c r="A8" t="s">
        <v>28</v>
      </c>
      <c r="B8" t="s">
        <v>10</v>
      </c>
    </row>
    <row r="16" spans="1:2" x14ac:dyDescent="0.3">
      <c r="A16" s="12" t="s">
        <v>66</v>
      </c>
    </row>
    <row r="17" spans="1:21" x14ac:dyDescent="0.3">
      <c r="A17" s="18" t="s">
        <v>67</v>
      </c>
      <c r="B17" s="19" t="s">
        <v>68</v>
      </c>
      <c r="C17" s="13" t="s">
        <v>48</v>
      </c>
      <c r="D17" s="13" t="s">
        <v>49</v>
      </c>
      <c r="E17" s="13" t="s">
        <v>51</v>
      </c>
      <c r="F17" s="13" t="s">
        <v>53</v>
      </c>
      <c r="G17" s="13" t="s">
        <v>54</v>
      </c>
      <c r="H17" s="13" t="s">
        <v>57</v>
      </c>
      <c r="I17" s="13" t="s">
        <v>59</v>
      </c>
      <c r="J17" s="13" t="s">
        <v>61</v>
      </c>
      <c r="K17" s="13" t="s">
        <v>63</v>
      </c>
      <c r="L17" s="13" t="s">
        <v>13</v>
      </c>
      <c r="M17" s="13" t="s">
        <v>18</v>
      </c>
      <c r="N17" s="13" t="s">
        <v>19</v>
      </c>
      <c r="O17" s="13" t="s">
        <v>21</v>
      </c>
      <c r="P17" s="13" t="s">
        <v>74</v>
      </c>
      <c r="Q17" s="13" t="s">
        <v>69</v>
      </c>
      <c r="R17" s="13" t="s">
        <v>70</v>
      </c>
      <c r="S17" s="13" t="s">
        <v>71</v>
      </c>
      <c r="T17" s="13" t="s">
        <v>72</v>
      </c>
      <c r="U17" s="13" t="s">
        <v>73</v>
      </c>
    </row>
    <row r="18" spans="1:21" x14ac:dyDescent="0.3">
      <c r="A18" s="14" t="s">
        <v>32</v>
      </c>
      <c r="B18" s="15" t="s">
        <v>31</v>
      </c>
      <c r="C18" t="s">
        <v>46</v>
      </c>
      <c r="D18" t="s">
        <v>47</v>
      </c>
      <c r="E18" t="s">
        <v>50</v>
      </c>
      <c r="F18" t="s">
        <v>52</v>
      </c>
      <c r="G18" t="s">
        <v>55</v>
      </c>
      <c r="H18" t="s">
        <v>56</v>
      </c>
      <c r="I18" t="s">
        <v>58</v>
      </c>
      <c r="J18" t="s">
        <v>60</v>
      </c>
      <c r="K18" t="s">
        <v>62</v>
      </c>
      <c r="L18" t="s">
        <v>33</v>
      </c>
      <c r="M18" t="s">
        <v>34</v>
      </c>
      <c r="N18" t="s">
        <v>35</v>
      </c>
      <c r="O18" t="s">
        <v>36</v>
      </c>
      <c r="P18" t="s">
        <v>75</v>
      </c>
    </row>
    <row r="19" spans="1:21" x14ac:dyDescent="0.3">
      <c r="A19" s="14"/>
      <c r="B19" s="15"/>
    </row>
    <row r="20" spans="1:21" x14ac:dyDescent="0.3">
      <c r="A20" s="14"/>
      <c r="B20" s="15"/>
    </row>
    <row r="21" spans="1:21" x14ac:dyDescent="0.3">
      <c r="A21" s="14"/>
      <c r="B21" s="15"/>
    </row>
    <row r="22" spans="1:21" x14ac:dyDescent="0.3">
      <c r="A22" s="14"/>
      <c r="B22" s="15"/>
    </row>
    <row r="23" spans="1:21" x14ac:dyDescent="0.3">
      <c r="A23" s="14"/>
      <c r="B23" s="15"/>
    </row>
    <row r="24" spans="1:21" x14ac:dyDescent="0.3">
      <c r="A24" s="14"/>
      <c r="B24" s="15"/>
    </row>
    <row r="25" spans="1:21" x14ac:dyDescent="0.3">
      <c r="A25" s="14"/>
      <c r="B25" s="15"/>
    </row>
    <row r="26" spans="1:21" x14ac:dyDescent="0.3">
      <c r="A26" s="14"/>
      <c r="B26" s="15"/>
    </row>
    <row r="27" spans="1:21" x14ac:dyDescent="0.3">
      <c r="A27" s="14"/>
      <c r="B27" s="15"/>
    </row>
    <row r="28" spans="1:21" x14ac:dyDescent="0.3">
      <c r="A28" s="14"/>
      <c r="B28" s="15"/>
    </row>
    <row r="29" spans="1:21" x14ac:dyDescent="0.3">
      <c r="A29" s="14"/>
      <c r="B29" s="15"/>
    </row>
    <row r="30" spans="1:21" x14ac:dyDescent="0.3">
      <c r="A30" s="14"/>
      <c r="B30" s="15"/>
    </row>
    <row r="31" spans="1:21" x14ac:dyDescent="0.3">
      <c r="A31" s="14"/>
      <c r="B31" s="15"/>
    </row>
    <row r="32" spans="1:21" x14ac:dyDescent="0.3">
      <c r="A32" s="14"/>
      <c r="B32" s="15"/>
    </row>
    <row r="33" spans="1:2" x14ac:dyDescent="0.3">
      <c r="A33" s="14"/>
      <c r="B33" s="15"/>
    </row>
    <row r="34" spans="1:2" x14ac:dyDescent="0.3">
      <c r="A34" s="14"/>
      <c r="B34" s="15"/>
    </row>
    <row r="35" spans="1:2" x14ac:dyDescent="0.3">
      <c r="A35" s="14"/>
      <c r="B35" s="15"/>
    </row>
    <row r="36" spans="1:2" x14ac:dyDescent="0.3">
      <c r="A36" s="14"/>
      <c r="B36" s="15"/>
    </row>
    <row r="37" spans="1:2" x14ac:dyDescent="0.3">
      <c r="A37" s="14"/>
      <c r="B37" s="15"/>
    </row>
    <row r="38" spans="1:2" x14ac:dyDescent="0.3">
      <c r="A38" s="14"/>
      <c r="B38" s="15"/>
    </row>
    <row r="39" spans="1:2" x14ac:dyDescent="0.3">
      <c r="A39" s="14"/>
      <c r="B39" s="15"/>
    </row>
    <row r="40" spans="1:2" x14ac:dyDescent="0.3">
      <c r="A40" s="14"/>
      <c r="B40" s="15"/>
    </row>
    <row r="41" spans="1:2" x14ac:dyDescent="0.3">
      <c r="A41" s="14"/>
      <c r="B41" s="15"/>
    </row>
    <row r="42" spans="1:2" x14ac:dyDescent="0.3">
      <c r="A42" s="14"/>
      <c r="B42" s="15"/>
    </row>
    <row r="43" spans="1:2" x14ac:dyDescent="0.3">
      <c r="A43" s="14"/>
      <c r="B43" s="15"/>
    </row>
    <row r="44" spans="1:2" x14ac:dyDescent="0.3">
      <c r="A44" s="14"/>
      <c r="B44" s="15"/>
    </row>
    <row r="45" spans="1:2" x14ac:dyDescent="0.3">
      <c r="A45" s="14"/>
      <c r="B45" s="15"/>
    </row>
    <row r="46" spans="1:2" x14ac:dyDescent="0.3">
      <c r="A46" s="14"/>
      <c r="B46" s="15"/>
    </row>
    <row r="47" spans="1:2" x14ac:dyDescent="0.3">
      <c r="A47" s="14"/>
      <c r="B47" s="15"/>
    </row>
    <row r="48" spans="1:2" x14ac:dyDescent="0.3">
      <c r="A48" s="14"/>
      <c r="B48" s="15"/>
    </row>
    <row r="49" spans="1:2" x14ac:dyDescent="0.3">
      <c r="A49" s="14"/>
      <c r="B49" s="15"/>
    </row>
    <row r="50" spans="1:2" x14ac:dyDescent="0.3">
      <c r="A50" s="14"/>
      <c r="B50" s="15"/>
    </row>
    <row r="51" spans="1:2" x14ac:dyDescent="0.3">
      <c r="A51" s="14"/>
      <c r="B51" s="15"/>
    </row>
    <row r="52" spans="1:2" x14ac:dyDescent="0.3">
      <c r="A52" s="16"/>
      <c r="B52" s="17"/>
    </row>
  </sheetData>
  <phoneticPr fontId="6" type="noConversion"/>
  <pageMargins left="0.7" right="0.7" top="0.75" bottom="0.75" header="0.3" footer="0.3"/>
  <pageSetup paperSize="9" orientation="portrait" horizontalDpi="4294967294" verticalDpi="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F372E8CCA016418A193AD921508903" ma:contentTypeVersion="9" ma:contentTypeDescription="Create a new document." ma:contentTypeScope="" ma:versionID="f5e922417d740f1a527805650dc2dfa9">
  <xsd:schema xmlns:xsd="http://www.w3.org/2001/XMLSchema" xmlns:xs="http://www.w3.org/2001/XMLSchema" xmlns:p="http://schemas.microsoft.com/office/2006/metadata/properties" xmlns:ns2="399317f3-0083-4d0b-9572-12af99626311" xmlns:ns3="1444eecc-14bb-4066-abe6-ce6de21d9439" targetNamespace="http://schemas.microsoft.com/office/2006/metadata/properties" ma:root="true" ma:fieldsID="078d79524add6eac9b94134ca637184e" ns2:_="" ns3:_="">
    <xsd:import namespace="399317f3-0083-4d0b-9572-12af99626311"/>
    <xsd:import namespace="1444eecc-14bb-4066-abe6-ce6de21d9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317f3-0083-4d0b-9572-12af99626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4eecc-14bb-4066-abe6-ce6de21d943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444eecc-14bb-4066-abe6-ce6de21d943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A00E6A9-20DD-4842-9306-307EB080AF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F88A1C-AA0D-4F8F-A0FD-6F3FAFCA9D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9317f3-0083-4d0b-9572-12af99626311"/>
    <ds:schemaRef ds:uri="1444eecc-14bb-4066-abe6-ce6de21d9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BE950A-5812-419E-B174-6A5D9B8E0414}">
  <ds:schemaRefs>
    <ds:schemaRef ds:uri="http://schemas.microsoft.com/office/2006/metadata/properties"/>
    <ds:schemaRef ds:uri="http://schemas.microsoft.com/office/infopath/2007/PartnerControls"/>
    <ds:schemaRef ds:uri="1444eecc-14bb-4066-abe6-ce6de21d943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Quotation</vt:lpstr>
      <vt:lpstr>Settings</vt:lpstr>
      <vt:lpstr>Quotation!Afdrukbereik</vt:lpstr>
      <vt:lpstr>Quotation!Afdruktitels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Lemaire Wouter</dc:creator>
  <cp:lastModifiedBy>Nils Vanderheyden</cp:lastModifiedBy>
  <cp:lastPrinted>2021-06-03T08:52:36Z</cp:lastPrinted>
  <dcterms:created xsi:type="dcterms:W3CDTF">2021-05-14T05:44:12Z</dcterms:created>
  <dcterms:modified xsi:type="dcterms:W3CDTF">2021-06-20T08:39:20Z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14163000</vt:r8>
  </property>
  <property fmtid="{D5CDD505-2E9C-101B-9397-08002B2CF9AE}" pid="3" name="ContentTypeId">
    <vt:lpwstr>0x01010075F372E8CCA016418A193AD921508903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</Properties>
</file>