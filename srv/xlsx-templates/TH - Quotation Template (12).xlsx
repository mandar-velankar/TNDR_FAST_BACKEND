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ocuments\Projects\Bayer\fastCAPv2\fastCAP-backend\srv\xlsx-templates\"/>
    </mc:Choice>
  </mc:AlternateContent>
  <xr:revisionPtr revIDLastSave="0" documentId="13_ncr:1_{7CCD3417-AF0E-4A8F-8E07-6B52F4321981}" xr6:coauthVersionLast="47" xr6:coauthVersionMax="47" xr10:uidLastSave="{00000000-0000-0000-0000-000000000000}"/>
  <bookViews>
    <workbookView xWindow="28680" yWindow="-120" windowWidth="29040" windowHeight="15840" xr2:uid="{F5CC2154-27BB-4652-B61E-D913F0CC6809}"/>
  </bookViews>
  <sheets>
    <sheet name="Quotation" sheetId="1" r:id="rId1"/>
    <sheet name="Settings" sheetId="2" r:id="rId2"/>
  </sheets>
  <definedNames>
    <definedName name="_xlnm.Print_Area" localSheetId="0">Quotation!$B$2:$R$21</definedName>
    <definedName name="_xlnm.Print_Titles" localSheetId="0">Quotation!$2:$13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8" i="2" l="1"/>
  <c r="P14" i="1" s="1"/>
  <c r="Q19" i="2"/>
  <c r="Q20" i="2"/>
  <c r="Q21" i="2"/>
  <c r="Q22" i="2"/>
  <c r="Q23" i="2"/>
  <c r="Q24" i="2"/>
  <c r="P20" i="1" s="1"/>
  <c r="Q25" i="2"/>
  <c r="Q26" i="2"/>
  <c r="P22" i="1" s="1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P15" i="1"/>
  <c r="P16" i="1"/>
  <c r="P19" i="1"/>
  <c r="P23" i="1"/>
  <c r="P24" i="1"/>
  <c r="P27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O14" i="1"/>
  <c r="N14" i="1"/>
  <c r="M14" i="1"/>
  <c r="L14" i="1"/>
  <c r="D14" i="1"/>
  <c r="Q15" i="1"/>
  <c r="Q16" i="1"/>
  <c r="P17" i="1"/>
  <c r="Q17" i="1"/>
  <c r="P18" i="1"/>
  <c r="Q18" i="1"/>
  <c r="Q19" i="1"/>
  <c r="Q20" i="1"/>
  <c r="P21" i="1"/>
  <c r="Q21" i="1"/>
  <c r="Q22" i="1"/>
  <c r="Q23" i="1"/>
  <c r="Q24" i="1"/>
  <c r="P25" i="1"/>
  <c r="Q25" i="1"/>
  <c r="P26" i="1"/>
  <c r="Q26" i="1"/>
  <c r="Q27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E15" i="1"/>
  <c r="H15" i="1"/>
  <c r="I15" i="1"/>
  <c r="J15" i="1"/>
  <c r="E16" i="1"/>
  <c r="H16" i="1"/>
  <c r="I16" i="1"/>
  <c r="J16" i="1"/>
  <c r="E17" i="1"/>
  <c r="H17" i="1"/>
  <c r="I17" i="1"/>
  <c r="J17" i="1"/>
  <c r="E18" i="1"/>
  <c r="H18" i="1"/>
  <c r="I18" i="1"/>
  <c r="J18" i="1"/>
  <c r="E19" i="1"/>
  <c r="H19" i="1"/>
  <c r="I19" i="1"/>
  <c r="J19" i="1"/>
  <c r="E20" i="1"/>
  <c r="H20" i="1"/>
  <c r="I20" i="1"/>
  <c r="J20" i="1"/>
  <c r="E21" i="1"/>
  <c r="H21" i="1"/>
  <c r="I21" i="1"/>
  <c r="J21" i="1"/>
  <c r="E22" i="1"/>
  <c r="H22" i="1"/>
  <c r="I22" i="1"/>
  <c r="J22" i="1"/>
  <c r="E23" i="1"/>
  <c r="H23" i="1"/>
  <c r="I23" i="1"/>
  <c r="J23" i="1"/>
  <c r="E24" i="1"/>
  <c r="H24" i="1"/>
  <c r="I24" i="1"/>
  <c r="J24" i="1"/>
  <c r="E25" i="1"/>
  <c r="H25" i="1"/>
  <c r="I25" i="1"/>
  <c r="J25" i="1"/>
  <c r="E26" i="1"/>
  <c r="H26" i="1"/>
  <c r="I26" i="1"/>
  <c r="J26" i="1"/>
  <c r="E27" i="1"/>
  <c r="H27" i="1"/>
  <c r="I27" i="1"/>
  <c r="J27" i="1"/>
  <c r="E28" i="1"/>
  <c r="H28" i="1"/>
  <c r="I28" i="1"/>
  <c r="J28" i="1"/>
  <c r="E29" i="1"/>
  <c r="H29" i="1"/>
  <c r="I29" i="1"/>
  <c r="J29" i="1"/>
  <c r="E30" i="1"/>
  <c r="H30" i="1"/>
  <c r="I30" i="1"/>
  <c r="J30" i="1"/>
  <c r="Q31" i="1"/>
  <c r="Q29" i="1"/>
  <c r="D5" i="1"/>
  <c r="D3" i="1"/>
  <c r="Q33" i="1"/>
  <c r="Q14" i="1"/>
  <c r="J14" i="1"/>
  <c r="I14" i="1"/>
  <c r="H14" i="1"/>
  <c r="E14" i="1"/>
  <c r="I11" i="1"/>
  <c r="F11" i="1"/>
  <c r="C11" i="1"/>
  <c r="L8" i="1"/>
  <c r="I8" i="1"/>
  <c r="F8" i="1"/>
  <c r="C8" i="1"/>
  <c r="E31" i="1"/>
  <c r="E32" i="1"/>
  <c r="E33" i="1"/>
  <c r="E34" i="1"/>
  <c r="E35" i="1"/>
  <c r="E36" i="1"/>
  <c r="H31" i="1"/>
  <c r="H32" i="1"/>
  <c r="H33" i="1"/>
  <c r="H34" i="1"/>
  <c r="H35" i="1"/>
  <c r="I31" i="1"/>
  <c r="I32" i="1"/>
  <c r="I33" i="1"/>
  <c r="I34" i="1"/>
  <c r="I35" i="1"/>
  <c r="J31" i="1"/>
  <c r="J32" i="1"/>
  <c r="J33" i="1"/>
  <c r="J34" i="1"/>
  <c r="N28" i="1"/>
  <c r="N29" i="1"/>
  <c r="N30" i="1"/>
  <c r="N31" i="1"/>
  <c r="N32" i="1"/>
  <c r="N33" i="1"/>
</calcChain>
</file>

<file path=xl/sharedStrings.xml><?xml version="1.0" encoding="utf-8"?>
<sst xmlns="http://schemas.openxmlformats.org/spreadsheetml/2006/main" count="87" uniqueCount="75">
  <si>
    <t>${offerValidation.INSTITUTENAME}</t>
  </si>
  <si>
    <t>Offer Party</t>
  </si>
  <si>
    <t>Procurement Method</t>
  </si>
  <si>
    <t>Contract Number</t>
  </si>
  <si>
    <t>Tender Reference</t>
  </si>
  <si>
    <t>Offer Date</t>
  </si>
  <si>
    <t>Offer Validity</t>
  </si>
  <si>
    <t>Shipment Terms</t>
  </si>
  <si>
    <t>Payment Terms</t>
  </si>
  <si>
    <t>Delivery Terms</t>
  </si>
  <si>
    <t>Article Name</t>
  </si>
  <si>
    <t>Qty</t>
  </si>
  <si>
    <t>Pack Factor</t>
  </si>
  <si>
    <t>MSP</t>
  </si>
  <si>
    <t>MSP with VAT</t>
  </si>
  <si>
    <t>Total</t>
  </si>
  <si>
    <t>Total with VAT</t>
  </si>
  <si>
    <t>Samples</t>
  </si>
  <si>
    <t>Origin</t>
  </si>
  <si>
    <t>Contract ID</t>
  </si>
  <si>
    <t>FOC</t>
  </si>
  <si>
    <t>Total Qty</t>
  </si>
  <si>
    <t>NSP</t>
  </si>
  <si>
    <t>${offerValidation.OFFERID}</t>
  </si>
  <si>
    <t>${offerValidation.TENDERID}</t>
  </si>
  <si>
    <t>${offerValidation.OFFERDATE}</t>
  </si>
  <si>
    <t>${offerValidation.OFFERVALIDITY}</t>
  </si>
  <si>
    <t>${offerValidation.DELIVERYTERMS}</t>
  </si>
  <si>
    <t>${offerValidation.PAYMENTTERMS}</t>
  </si>
  <si>
    <t>${offerValidation.SHIPMENTTERMS}</t>
  </si>
  <si>
    <t>${table:offerProductValidation.PRODUCT_UNIT_NAME}</t>
  </si>
  <si>
    <t>${table:offerProductValidation.SKU}</t>
  </si>
  <si>
    <t>${table:offerProductValidation.PACKSIZE}</t>
  </si>
  <si>
    <t>${table:offerProductValidation.SAMPLES}</t>
  </si>
  <si>
    <t>${table:offerProductValidation.COUNTRYOFORIGIN}</t>
  </si>
  <si>
    <t>${table:offerProductValidation.FOC}</t>
  </si>
  <si>
    <t>Total Amount</t>
  </si>
  <si>
    <t>VAT Amount</t>
  </si>
  <si>
    <t>Total Amount with VAT</t>
  </si>
  <si>
    <t>${table:offerProductValidation.PAID_VOLUME}</t>
  </si>
  <si>
    <t>${table:offerProductValidation.UNIT}</t>
  </si>
  <si>
    <t>PAID VOLUME</t>
  </si>
  <si>
    <t>UNIT</t>
  </si>
  <si>
    <t>${table:offerProductValidation.OFFER_PRICE}</t>
  </si>
  <si>
    <t>OFFER PRICE</t>
  </si>
  <si>
    <t>${table:offerProductValidation.CURRENCY}</t>
  </si>
  <si>
    <t>CURRENCY</t>
  </si>
  <si>
    <t>OFFER_PRICE_VAT</t>
  </si>
  <si>
    <t>${table:offerProductValidation.OFFER_PRICE_VAT}</t>
  </si>
  <si>
    <t>${table:offerProductValidation.GROSS_SALES_OFFER_CURRENCY}</t>
  </si>
  <si>
    <t>GROSS SALES OFFER CURRENCY</t>
  </si>
  <si>
    <t>${table:offerProductValidation.GROSS_SALES_OFFER_CURRENCY_VAT}</t>
  </si>
  <si>
    <t>GROSS_SALES_OFFER_CURRENCY_VAT</t>
  </si>
  <si>
    <t>${table:offerProductValidation.OFFER_ID}</t>
  </si>
  <si>
    <t>OFFER_ID</t>
  </si>
  <si>
    <t>${table:offerProductValidation.SORTER}</t>
  </si>
  <si>
    <t>SORTER</t>
  </si>
  <si>
    <t>Header fields</t>
  </si>
  <si>
    <t>Description</t>
  </si>
  <si>
    <t>Product table fields</t>
  </si>
  <si>
    <t>SKU CODE</t>
  </si>
  <si>
    <t>Article name</t>
  </si>
  <si>
    <t>Total Quantity Units</t>
  </si>
  <si>
    <t>Total QTY</t>
  </si>
  <si>
    <t>Net Price</t>
  </si>
  <si>
    <t>${table:offerProductValidation.NET_PRICE}</t>
  </si>
  <si>
    <t>Amount in numbers</t>
  </si>
  <si>
    <t>${offerValidation.AMOUNT_IN_NUMBERS}</t>
  </si>
  <si>
    <t>VAT total</t>
  </si>
  <si>
    <t>${offerValidation.AMOUNT_IN_NUMBERS_VAT}</t>
  </si>
  <si>
    <t>Amount in numbers vat</t>
  </si>
  <si>
    <t>${offerValidation.PROCUREMENT_REASON}</t>
  </si>
  <si>
    <t>Procurement reason</t>
  </si>
  <si>
    <t>${offerValidation.VAT_TOTAL}</t>
  </si>
  <si>
    <t>${table:offerProductValidation.TOTAL_QUANTITY_UNITS}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</si>
</sst>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\.###\.###.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0" fontId="2" fillId="0" borderId="2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5" fillId="2" borderId="3" xfId="0" applyFont="1" applyFill="1" applyBorder="1"/>
    <xf numFmtId="0" fontId="5" fillId="2" borderId="4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165" fontId="0" fillId="0" borderId="0" xfId="0" applyNumberFormat="1"/>
  </cellXfs>
  <cellStyles count="1">
    <cellStyle name="Standaard" xfId="0" builtinId="0"/>
  </cellStyles>
  <dxfs count="7">
    <dxf>
      <numFmt numFmtId="0" formatCode="General"/>
    </dxf>
    <dxf>
      <numFmt numFmtId="165" formatCode="#\.###\.###.00"/>
    </dxf>
    <dxf>
      <numFmt numFmtId="165" formatCode="#\.###\.###.00"/>
    </dxf>
    <dxf>
      <numFmt numFmtId="165" formatCode="#\.###\.###.00"/>
    </dxf>
    <dxf>
      <numFmt numFmtId="165" formatCode="#\.###\.###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552450</xdr:colOff>
      <xdr:row>2</xdr:row>
      <xdr:rowOff>133350</xdr:rowOff>
    </xdr:from>
    <xdr:to>
      <xdr:col>16</xdr:col>
      <xdr:colOff>1348740</xdr:colOff>
      <xdr:row>6</xdr:row>
      <xdr:rowOff>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85028B1-20BB-4225-B9A8-E12CBCF93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545050" y="514350"/>
          <a:ext cx="790575" cy="7905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DC07E-0020-4B51-98A2-ADA62A91E75D}" name="Tabel1" displayName="Tabel1" ref="A1:B13" totalsRowShown="0" headerRowDxfId="6">
  <autoFilter ref="A1:B13" xr:uid="{5B6DC07E-0020-4B51-98A2-ADA62A91E75D}"/>
  <tableColumns count="2">
    <tableColumn id="1" xr3:uid="{22EAB7A2-53F9-497F-A4B5-CA34E48AC441}" name="Header fields"/>
    <tableColumn id="2" xr3:uid="{331DD14B-B263-41D9-B2C5-D198B6F2436E}" name="Description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FFBCB4-83C9-46C5-9D10-EDD296E322D9}" name="Tabel2" displayName="Tabel2" ref="C17:U52" totalsRowShown="0" headerRowDxfId="5">
  <autoFilter ref="C17:U52" xr:uid="{2EFFBCB4-83C9-46C5-9D10-EDD296E322D9}"/>
  <tableColumns count="19">
    <tableColumn id="1" xr3:uid="{6E1F8ECB-E862-46B4-998C-BE8E89C238BA}" name="PAID VOLUME"/>
    <tableColumn id="2" xr3:uid="{6497AF92-63C8-4790-818D-6E5BE819E8D6}" name="UNIT"/>
    <tableColumn id="3" xr3:uid="{A1E59B72-B459-4BFA-9B37-9736C0F03B7E}" name="OFFER PRICE" dataDxfId="1"/>
    <tableColumn id="4" xr3:uid="{1CB5E955-18ED-4738-ACA1-E270D15916F8}" name="CURRENCY"/>
    <tableColumn id="5" xr3:uid="{77EEA9FC-8FC3-433A-9592-47B0D8B4C67B}" name="OFFER_PRICE_VAT" dataDxfId="2"/>
    <tableColumn id="6" xr3:uid="{38030720-EDB2-473C-9CF5-2E9C926DF088}" name="GROSS SALES OFFER CURRENCY" dataDxfId="3"/>
    <tableColumn id="7" xr3:uid="{A1EAF0A4-B4D5-428E-9D86-C12164DF9888}" name="GROSS_SALES_OFFER_CURRENCY_VAT" dataDxfId="4"/>
    <tableColumn id="8" xr3:uid="{06958303-4A18-40AA-8AD0-9A7EEFDCAF3E}" name="OFFER_ID"/>
    <tableColumn id="9" xr3:uid="{A1218AAF-0481-41A2-9C10-3038D1BF8C7D}" name="SORTER"/>
    <tableColumn id="10" xr3:uid="{5A7FFAC3-1C22-44BF-8C52-F3578967B0F3}" name="Pack Factor"/>
    <tableColumn id="11" xr3:uid="{2D111679-3BB3-4B04-986E-34E61AC9B6D1}" name="Samples"/>
    <tableColumn id="12" xr3:uid="{4A42B0A1-255A-4E7E-955E-674BA8AAA444}" name="Origin"/>
    <tableColumn id="13" xr3:uid="{7D1379AA-4B8F-4BC6-9726-365EBAE15341}" name="FOC"/>
    <tableColumn id="14" xr3:uid="{DF88A36E-0423-48FC-A1FC-B18BF3BA8D1A}" name="Total Quantity Units"/>
    <tableColumn id="15" xr3:uid="{6B128E87-63EB-483B-88D7-EA33600F43AB}" name="Total QTY" dataDxfId="0">
      <calculatedColumnFormula>IF(D18&gt;0,IF(D18="Unit",CONCATENATE(Settings!P18," ",Settings!D18,"s"),CONCATENATE((Settings!P18/Settings!L18)," ",Settings!D18,"s")),"")</calculatedColumnFormula>
    </tableColumn>
    <tableColumn id="16" xr3:uid="{E4D044B6-D053-487A-AA8C-F40FE34F30A7}" name="Net Price"/>
    <tableColumn id="17" xr3:uid="{F95E93A8-C80D-4AC7-9526-72374F546CE7}" name="Amount in numbers"/>
    <tableColumn id="18" xr3:uid="{2DDE85E8-6C8E-4D93-A4E8-1F80D965246B}" name="VAT total"/>
    <tableColumn id="19" xr3:uid="{F55B5874-4E65-4E44-AEFE-7CFF114E939A}" name="Amount in numbers va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ayer 2017">
      <a:dk1>
        <a:srgbClr val="000000"/>
      </a:dk1>
      <a:lt1>
        <a:srgbClr val="FFFFFF"/>
      </a:lt1>
      <a:dk2>
        <a:srgbClr val="FF3162"/>
      </a:dk2>
      <a:lt2>
        <a:srgbClr val="624963"/>
      </a:lt2>
      <a:accent1>
        <a:srgbClr val="10384F"/>
      </a:accent1>
      <a:accent2>
        <a:srgbClr val="00BCFF"/>
      </a:accent2>
      <a:accent3>
        <a:srgbClr val="004422"/>
      </a:accent3>
      <a:accent4>
        <a:srgbClr val="89D329"/>
      </a:accent4>
      <a:accent5>
        <a:srgbClr val="443247"/>
      </a:accent5>
      <a:accent6>
        <a:srgbClr val="D30F4B"/>
      </a:accent6>
      <a:hlink>
        <a:srgbClr val="00BCFF"/>
      </a:hlink>
      <a:folHlink>
        <a:srgbClr val="10384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731A-D70B-4034-AE07-DF495FD0B95B}">
  <dimension ref="C3:Q36"/>
  <sheetViews>
    <sheetView tabSelected="1" view="pageLayout" zoomScale="85" zoomScaleNormal="100" zoomScalePageLayoutView="85" workbookViewId="0">
      <selection activeCell="P14" sqref="P14"/>
    </sheetView>
  </sheetViews>
  <sheetFormatPr defaultRowHeight="14.4" x14ac:dyDescent="0.3"/>
  <cols>
    <col min="1" max="2" width="2.6640625" customWidth="1"/>
    <col min="3" max="3" width="19.109375" customWidth="1"/>
    <col min="4" max="4" width="24.33203125" customWidth="1"/>
    <col min="5" max="5" width="21.88671875" customWidth="1"/>
    <col min="6" max="6" width="15.5546875" customWidth="1"/>
    <col min="7" max="10" width="20.6640625" customWidth="1"/>
    <col min="16" max="17" width="20.6640625" customWidth="1"/>
    <col min="18" max="18" width="2.6640625" customWidth="1"/>
  </cols>
  <sheetData>
    <row r="3" spans="3:17" ht="28.8" x14ac:dyDescent="0.3">
      <c r="C3" s="3" t="s">
        <v>1</v>
      </c>
      <c r="D3" s="4" t="str">
        <f>Settings!A9</f>
        <v>${offerValidation.INSTITUTENAME}</v>
      </c>
    </row>
    <row r="5" spans="3:17" x14ac:dyDescent="0.3">
      <c r="C5" s="3" t="s">
        <v>2</v>
      </c>
      <c r="D5" s="4" t="str">
        <f>Settings!A10</f>
        <v>${offerValidation.PROCUREMENT_REASON}</v>
      </c>
      <c r="E5" s="10"/>
    </row>
    <row r="6" spans="3:17" x14ac:dyDescent="0.3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3:17" x14ac:dyDescent="0.3">
      <c r="C7" s="1" t="s">
        <v>3</v>
      </c>
      <c r="F7" s="1" t="s">
        <v>4</v>
      </c>
      <c r="I7" s="1" t="s">
        <v>5</v>
      </c>
      <c r="L7" s="1" t="s">
        <v>6</v>
      </c>
    </row>
    <row r="8" spans="3:17" x14ac:dyDescent="0.3">
      <c r="C8" s="20" t="str">
        <f>Settings!A2</f>
        <v>${offerValidation.OFFERID}</v>
      </c>
      <c r="D8" s="20"/>
      <c r="E8" s="20"/>
      <c r="F8" s="19" t="str">
        <f>Settings!A3</f>
        <v>${offerValidation.TENDERID}</v>
      </c>
      <c r="G8" s="19"/>
      <c r="H8" s="19"/>
      <c r="I8" s="19" t="str">
        <f>Settings!A4</f>
        <v>${offerValidation.OFFERDATE}</v>
      </c>
      <c r="J8" s="19"/>
      <c r="K8" s="19"/>
      <c r="L8" s="19" t="str">
        <f>Settings!A5</f>
        <v>${offerValidation.OFFERVALIDITY}</v>
      </c>
      <c r="M8" s="19"/>
      <c r="N8" s="19"/>
    </row>
    <row r="9" spans="3:17" x14ac:dyDescent="0.3">
      <c r="C9" s="6"/>
      <c r="D9" s="6"/>
      <c r="E9" s="6"/>
      <c r="F9" s="7"/>
      <c r="G9" s="7"/>
      <c r="H9" s="7"/>
      <c r="I9" s="7"/>
      <c r="J9" s="7"/>
      <c r="K9" s="7"/>
      <c r="L9" s="7"/>
      <c r="M9" s="7"/>
      <c r="N9" s="7"/>
      <c r="O9" s="5"/>
      <c r="P9" s="5"/>
      <c r="Q9" s="5"/>
    </row>
    <row r="10" spans="3:17" x14ac:dyDescent="0.3">
      <c r="C10" s="1" t="s">
        <v>7</v>
      </c>
      <c r="F10" s="1" t="s">
        <v>8</v>
      </c>
      <c r="I10" s="1" t="s">
        <v>9</v>
      </c>
    </row>
    <row r="11" spans="3:17" x14ac:dyDescent="0.3">
      <c r="C11" s="21" t="str">
        <f>Settings!A6</f>
        <v>${offerValidation.SHIPMENTTERMS}</v>
      </c>
      <c r="D11" s="21"/>
      <c r="E11" s="21"/>
      <c r="F11" s="21" t="str">
        <f>Settings!A7</f>
        <v>${offerValidation.PAYMENTTERMS}</v>
      </c>
      <c r="G11" s="21"/>
      <c r="H11" s="21"/>
      <c r="I11" s="21" t="str">
        <f>Settings!A8</f>
        <v>${offerValidation.DELIVERYTERMS}</v>
      </c>
      <c r="J11" s="21"/>
      <c r="K11" s="21"/>
    </row>
    <row r="12" spans="3:17" ht="15" thickBot="1" x14ac:dyDescent="0.35"/>
    <row r="13" spans="3:17" ht="15" thickBot="1" x14ac:dyDescent="0.35">
      <c r="C13" s="9"/>
      <c r="D13" s="9" t="s">
        <v>10</v>
      </c>
      <c r="E13" s="9" t="s">
        <v>11</v>
      </c>
      <c r="F13" s="9" t="s">
        <v>12</v>
      </c>
      <c r="G13" s="9" t="s">
        <v>13</v>
      </c>
      <c r="H13" s="9" t="s">
        <v>14</v>
      </c>
      <c r="I13" s="9" t="s">
        <v>15</v>
      </c>
      <c r="J13" s="9" t="s">
        <v>16</v>
      </c>
      <c r="L13" s="9" t="s">
        <v>17</v>
      </c>
      <c r="M13" s="9" t="s">
        <v>18</v>
      </c>
      <c r="N13" s="9" t="s">
        <v>19</v>
      </c>
      <c r="O13" s="9" t="s">
        <v>20</v>
      </c>
      <c r="P13" s="9" t="s">
        <v>21</v>
      </c>
      <c r="Q13" s="9" t="s">
        <v>22</v>
      </c>
    </row>
    <row r="14" spans="3:17" x14ac:dyDescent="0.3">
      <c r="C14" t="str">
        <f>IF(Settings!A18="","",Settings!A18)</f>
        <v>${table:offerProductValidation.SKU}</v>
      </c>
      <c r="D14" t="str">
        <f>IF(Settings!B18="","",Settings!B18)</f>
        <v>${table:offerProductValidation.PRODUCT_UNIT_NAME}</v>
      </c>
      <c r="E14" t="str">
        <f>IF(CONCATENATE(Settings!C18," ",Settings!D18,"s")=" s"," ",CONCATENATE(Settings!C18," ",Settings!D18,"s"))</f>
        <v>${table:offerProductValidation.PAID_VOLUME} ${table:offerProductValidation.UNIT}s</v>
      </c>
      <c r="F14" t="str">
        <f>IF(Settings!L18="","",Settings!L18)</f>
        <v>${table:offerProductValidation.PACKSIZE}</v>
      </c>
      <c r="G14" t="str">
        <f>CONCATENATE(Settings!E18," ",Settings!F18)</f>
        <v>${table:offerProductValidation.OFFER_PRICE} ${table:offerProductValidation.CURRENCY}</v>
      </c>
      <c r="H14" t="str">
        <f>CONCATENATE(Settings!G18," ",Settings!F18)</f>
        <v>${table:offerProductValidation.OFFER_PRICE_VAT} ${table:offerProductValidation.CURRENCY}</v>
      </c>
      <c r="I14" t="str">
        <f>CONCATENATE(Settings!H18," ",Settings!F18)</f>
        <v>${table:offerProductValidation.GROSS_SALES_OFFER_CURRENCY} ${table:offerProductValidation.CURRENCY}</v>
      </c>
      <c r="J14" t="str">
        <f>CONCATENATE(Settings!I18," ",Settings!F18)</f>
        <v>${table:offerProductValidation.GROSS_SALES_OFFER_CURRENCY_VAT} ${table:offerProductValidation.CURRENCY}</v>
      </c>
      <c r="L14" t="str">
        <f>IF(Settings!M18="","",Settings!M18)</f>
        <v>${table:offerProductValidation.SAMPLES}</v>
      </c>
      <c r="M14" t="str">
        <f>IF(Settings!N18="","",Settings!N18)</f>
        <v>${table:offerProductValidation.COUNTRYOFORIGIN}</v>
      </c>
      <c r="N14" t="str">
        <f>IF(CONCATENATE(Settings!J18,"-",Settings!K18) = "-","",CONCATENATE(Settings!J18,"-",Settings!K18))</f>
        <v>${table:offerProductValidation.OFFER_ID}-${table:offerProductValidation.SORTER}</v>
      </c>
      <c r="O14" t="str">
        <f>IF(Settings!O18="","",Settings!O18)</f>
        <v>${table:offerProductValidation.FOC}</v>
      </c>
      <c r="P14" t="e">
        <f>Settings!Q18</f>
        <v>#VALUE!</v>
      </c>
      <c r="Q14" t="str">
        <f>_xlfn.CONCAT(Settings!R18," ",Settings!F18)</f>
        <v>${table:offerProductValidation.NET_PRICE} ${table:offerProductValidation.CURRENCY}</v>
      </c>
    </row>
    <row r="15" spans="3:17" x14ac:dyDescent="0.3">
      <c r="C15" t="str">
        <f>IF(Settings!A19="","",Settings!A19)</f>
        <v/>
      </c>
      <c r="D15" t="str">
        <f>IF(Settings!B19="","",Settings!B19)</f>
        <v/>
      </c>
      <c r="E15" t="str">
        <f>IF(CONCATENATE(Settings!C19," ",Settings!D19,"s")=" s"," ",CONCATENATE(Settings!C19," ",Settings!D19,"s"))</f>
        <v xml:space="preserve"> </v>
      </c>
      <c r="F15" t="str">
        <f>IF(Settings!L19="","",Settings!L19)</f>
        <v/>
      </c>
      <c r="G15" t="str">
        <f>CONCATENATE(Settings!E19," ",Settings!F19)</f>
        <v xml:space="preserve"> </v>
      </c>
      <c r="H15" t="str">
        <f>CONCATENATE(Settings!G19," ",Settings!F19)</f>
        <v xml:space="preserve"> </v>
      </c>
      <c r="I15" t="str">
        <f>CONCATENATE(Settings!H19," ",Settings!F19)</f>
        <v xml:space="preserve"> </v>
      </c>
      <c r="J15" t="str">
        <f>CONCATENATE(Settings!I19," ",Settings!F19)</f>
        <v xml:space="preserve"> </v>
      </c>
      <c r="L15" t="str">
        <f>IF(Settings!M19="","",Settings!M19)</f>
        <v/>
      </c>
      <c r="M15" t="str">
        <f>IF(Settings!N19="","",Settings!N19)</f>
        <v/>
      </c>
      <c r="N15" t="str">
        <f>IF(CONCATENATE(Settings!J19,"-",Settings!K19) = "-","",CONCATENATE(Settings!J19,"-",Settings!K19))</f>
        <v/>
      </c>
      <c r="O15" t="str">
        <f>IF(Settings!O19="","",Settings!O19)</f>
        <v/>
      </c>
      <c r="P15" t="str">
        <f>Settings!Q19</f>
        <v/>
      </c>
      <c r="Q15" t="str">
        <f>_xlfn.CONCAT(Settings!R19," ",Settings!F19)</f>
        <v xml:space="preserve"> </v>
      </c>
    </row>
    <row r="16" spans="3:17" x14ac:dyDescent="0.3">
      <c r="C16" t="str">
        <f>IF(Settings!A20="","",Settings!A20)</f>
        <v/>
      </c>
      <c r="D16" t="str">
        <f>IF(Settings!B20="","",Settings!B20)</f>
        <v/>
      </c>
      <c r="E16" t="str">
        <f>IF(CONCATENATE(Settings!C20," ",Settings!D20,"s")=" s"," ",CONCATENATE(Settings!C20," ",Settings!D20,"s"))</f>
        <v xml:space="preserve"> </v>
      </c>
      <c r="F16" t="str">
        <f>IF(Settings!L20="","",Settings!L20)</f>
        <v/>
      </c>
      <c r="G16" t="str">
        <f>CONCATENATE(Settings!E20," ",Settings!F20)</f>
        <v xml:space="preserve"> </v>
      </c>
      <c r="H16" t="str">
        <f>CONCATENATE(Settings!G20," ",Settings!F20)</f>
        <v xml:space="preserve"> </v>
      </c>
      <c r="I16" t="str">
        <f>CONCATENATE(Settings!H20," ",Settings!F20)</f>
        <v xml:space="preserve"> </v>
      </c>
      <c r="J16" t="str">
        <f>CONCATENATE(Settings!I20," ",Settings!F20)</f>
        <v xml:space="preserve"> </v>
      </c>
      <c r="L16" t="str">
        <f>IF(Settings!M20="","",Settings!M20)</f>
        <v/>
      </c>
      <c r="M16" t="str">
        <f>IF(Settings!N20="","",Settings!N20)</f>
        <v/>
      </c>
      <c r="N16" t="str">
        <f>IF(CONCATENATE(Settings!J20,"-",Settings!K20) = "-","",CONCATENATE(Settings!J20,"-",Settings!K20))</f>
        <v/>
      </c>
      <c r="O16" t="str">
        <f>IF(Settings!O20="","",Settings!O20)</f>
        <v/>
      </c>
      <c r="P16" t="str">
        <f>Settings!Q20</f>
        <v/>
      </c>
      <c r="Q16" t="str">
        <f>_xlfn.CONCAT(Settings!R20," ",Settings!F20)</f>
        <v xml:space="preserve"> </v>
      </c>
    </row>
    <row r="17" spans="3:17" x14ac:dyDescent="0.3">
      <c r="C17" t="str">
        <f>IF(Settings!A21="","",Settings!A21)</f>
        <v/>
      </c>
      <c r="D17" t="str">
        <f>IF(Settings!B21="","",Settings!B21)</f>
        <v/>
      </c>
      <c r="E17" t="str">
        <f>IF(CONCATENATE(Settings!C21," ",Settings!D21,"s")=" s"," ",CONCATENATE(Settings!C21," ",Settings!D21,"s"))</f>
        <v xml:space="preserve"> </v>
      </c>
      <c r="F17" t="str">
        <f>IF(Settings!L21="","",Settings!L21)</f>
        <v/>
      </c>
      <c r="G17" t="str">
        <f>CONCATENATE(Settings!E21," ",Settings!F21)</f>
        <v xml:space="preserve"> </v>
      </c>
      <c r="H17" t="str">
        <f>CONCATENATE(Settings!G21," ",Settings!F21)</f>
        <v xml:space="preserve"> </v>
      </c>
      <c r="I17" t="str">
        <f>CONCATENATE(Settings!H21," ",Settings!F21)</f>
        <v xml:space="preserve"> </v>
      </c>
      <c r="J17" t="str">
        <f>CONCATENATE(Settings!I21," ",Settings!F21)</f>
        <v xml:space="preserve"> </v>
      </c>
      <c r="L17" t="str">
        <f>IF(Settings!M21="","",Settings!M21)</f>
        <v/>
      </c>
      <c r="M17" t="str">
        <f>IF(Settings!N21="","",Settings!N21)</f>
        <v/>
      </c>
      <c r="N17" t="str">
        <f>IF(CONCATENATE(Settings!J21,"-",Settings!K21) = "-","",CONCATENATE(Settings!J21,"-",Settings!K21))</f>
        <v/>
      </c>
      <c r="O17" t="str">
        <f>IF(Settings!O21="","",Settings!O21)</f>
        <v/>
      </c>
      <c r="P17" t="str">
        <f>Settings!Q21</f>
        <v/>
      </c>
      <c r="Q17" t="str">
        <f>_xlfn.CONCAT(Settings!R21," ",Settings!F21)</f>
        <v xml:space="preserve"> </v>
      </c>
    </row>
    <row r="18" spans="3:17" x14ac:dyDescent="0.3">
      <c r="C18" t="str">
        <f>IF(Settings!A22="","",Settings!A22)</f>
        <v/>
      </c>
      <c r="D18" t="str">
        <f>IF(Settings!B22="","",Settings!B22)</f>
        <v/>
      </c>
      <c r="E18" t="str">
        <f>IF(CONCATENATE(Settings!C22," ",Settings!D22,"s")=" s"," ",CONCATENATE(Settings!C22," ",Settings!D22,"s"))</f>
        <v xml:space="preserve"> </v>
      </c>
      <c r="F18" t="str">
        <f>IF(Settings!L22="","",Settings!L22)</f>
        <v/>
      </c>
      <c r="G18" t="str">
        <f>CONCATENATE(Settings!E22," ",Settings!F22)</f>
        <v xml:space="preserve"> </v>
      </c>
      <c r="H18" t="str">
        <f>CONCATENATE(Settings!G22," ",Settings!F22)</f>
        <v xml:space="preserve"> </v>
      </c>
      <c r="I18" t="str">
        <f>CONCATENATE(Settings!H22," ",Settings!F22)</f>
        <v xml:space="preserve"> </v>
      </c>
      <c r="J18" t="str">
        <f>CONCATENATE(Settings!I22," ",Settings!F22)</f>
        <v xml:space="preserve"> </v>
      </c>
      <c r="L18" t="str">
        <f>IF(Settings!M22="","",Settings!M22)</f>
        <v/>
      </c>
      <c r="M18" t="str">
        <f>IF(Settings!N22="","",Settings!N22)</f>
        <v/>
      </c>
      <c r="N18" t="str">
        <f>IF(CONCATENATE(Settings!J22,"-",Settings!K22) = "-","",CONCATENATE(Settings!J22,"-",Settings!K22))</f>
        <v/>
      </c>
      <c r="O18" t="str">
        <f>IF(Settings!O22="","",Settings!O22)</f>
        <v/>
      </c>
      <c r="P18" t="str">
        <f>Settings!Q22</f>
        <v/>
      </c>
      <c r="Q18" t="str">
        <f>_xlfn.CONCAT(Settings!R22," ",Settings!F22)</f>
        <v xml:space="preserve"> </v>
      </c>
    </row>
    <row r="19" spans="3:17" x14ac:dyDescent="0.3">
      <c r="C19" t="str">
        <f>IF(Settings!A23="","",Settings!A23)</f>
        <v/>
      </c>
      <c r="D19" t="str">
        <f>IF(Settings!B23="","",Settings!B23)</f>
        <v/>
      </c>
      <c r="E19" t="str">
        <f>IF(CONCATENATE(Settings!C23," ",Settings!D23,"s")=" s"," ",CONCATENATE(Settings!C23," ",Settings!D23,"s"))</f>
        <v xml:space="preserve"> </v>
      </c>
      <c r="F19" t="str">
        <f>IF(Settings!L23="","",Settings!L23)</f>
        <v/>
      </c>
      <c r="G19" t="str">
        <f>CONCATENATE(Settings!E23," ",Settings!F23)</f>
        <v xml:space="preserve"> </v>
      </c>
      <c r="H19" t="str">
        <f>CONCATENATE(Settings!G23," ",Settings!F23)</f>
        <v xml:space="preserve"> </v>
      </c>
      <c r="I19" t="str">
        <f>CONCATENATE(Settings!H23," ",Settings!F23)</f>
        <v xml:space="preserve"> </v>
      </c>
      <c r="J19" t="str">
        <f>CONCATENATE(Settings!I23," ",Settings!F23)</f>
        <v xml:space="preserve"> </v>
      </c>
      <c r="L19" t="str">
        <f>IF(Settings!M23="","",Settings!M23)</f>
        <v/>
      </c>
      <c r="M19" t="str">
        <f>IF(Settings!N23="","",Settings!N23)</f>
        <v/>
      </c>
      <c r="N19" t="str">
        <f>IF(CONCATENATE(Settings!J23,"-",Settings!K23) = "-","",CONCATENATE(Settings!J23,"-",Settings!K23))</f>
        <v/>
      </c>
      <c r="O19" t="str">
        <f>IF(Settings!O23="","",Settings!O23)</f>
        <v/>
      </c>
      <c r="P19" t="str">
        <f>Settings!Q23</f>
        <v/>
      </c>
      <c r="Q19" t="str">
        <f>_xlfn.CONCAT(Settings!R23," ",Settings!F23)</f>
        <v xml:space="preserve"> </v>
      </c>
    </row>
    <row r="20" spans="3:17" x14ac:dyDescent="0.3">
      <c r="C20" t="str">
        <f>IF(Settings!A24="","",Settings!A24)</f>
        <v/>
      </c>
      <c r="D20" t="str">
        <f>IF(Settings!B24="","",Settings!B24)</f>
        <v/>
      </c>
      <c r="E20" t="str">
        <f>IF(CONCATENATE(Settings!C24," ",Settings!D24,"s")=" s"," ",CONCATENATE(Settings!C24," ",Settings!D24,"s"))</f>
        <v xml:space="preserve"> </v>
      </c>
      <c r="F20" t="str">
        <f>IF(Settings!L24="","",Settings!L24)</f>
        <v/>
      </c>
      <c r="G20" t="str">
        <f>CONCATENATE(Settings!E24," ",Settings!F24)</f>
        <v xml:space="preserve"> </v>
      </c>
      <c r="H20" t="str">
        <f>CONCATENATE(Settings!G24," ",Settings!F24)</f>
        <v xml:space="preserve"> </v>
      </c>
      <c r="I20" t="str">
        <f>CONCATENATE(Settings!H24," ",Settings!F24)</f>
        <v xml:space="preserve"> </v>
      </c>
      <c r="J20" t="str">
        <f>CONCATENATE(Settings!I24," ",Settings!F24)</f>
        <v xml:space="preserve"> </v>
      </c>
      <c r="L20" t="str">
        <f>IF(Settings!M24="","",Settings!M24)</f>
        <v/>
      </c>
      <c r="M20" t="str">
        <f>IF(Settings!N24="","",Settings!N24)</f>
        <v/>
      </c>
      <c r="N20" t="str">
        <f>IF(CONCATENATE(Settings!J24,"-",Settings!K24) = "-","",CONCATENATE(Settings!J24,"-",Settings!K24))</f>
        <v/>
      </c>
      <c r="O20" t="str">
        <f>IF(Settings!O24="","",Settings!O24)</f>
        <v/>
      </c>
      <c r="P20" t="str">
        <f>Settings!Q24</f>
        <v/>
      </c>
      <c r="Q20" t="str">
        <f>_xlfn.CONCAT(Settings!R24," ",Settings!F24)</f>
        <v xml:space="preserve"> </v>
      </c>
    </row>
    <row r="21" spans="3:17" x14ac:dyDescent="0.3">
      <c r="C21" t="str">
        <f>IF(Settings!A25="","",Settings!A25)</f>
        <v/>
      </c>
      <c r="D21" t="str">
        <f>IF(Settings!B25="","",Settings!B25)</f>
        <v/>
      </c>
      <c r="E21" t="str">
        <f>IF(CONCATENATE(Settings!C25," ",Settings!D25,"s")=" s"," ",CONCATENATE(Settings!C25," ",Settings!D25,"s"))</f>
        <v xml:space="preserve"> </v>
      </c>
      <c r="F21" t="str">
        <f>IF(Settings!L25="","",Settings!L25)</f>
        <v/>
      </c>
      <c r="G21" t="str">
        <f>CONCATENATE(Settings!E25," ",Settings!F25)</f>
        <v xml:space="preserve"> </v>
      </c>
      <c r="H21" t="str">
        <f>CONCATENATE(Settings!G25," ",Settings!F25)</f>
        <v xml:space="preserve"> </v>
      </c>
      <c r="I21" t="str">
        <f>CONCATENATE(Settings!H25," ",Settings!F25)</f>
        <v xml:space="preserve"> </v>
      </c>
      <c r="J21" t="str">
        <f>CONCATENATE(Settings!I25," ",Settings!F25)</f>
        <v xml:space="preserve"> </v>
      </c>
      <c r="L21" t="str">
        <f>IF(Settings!M25="","",Settings!M25)</f>
        <v/>
      </c>
      <c r="M21" t="str">
        <f>IF(Settings!N25="","",Settings!N25)</f>
        <v/>
      </c>
      <c r="N21" t="str">
        <f>IF(CONCATENATE(Settings!J25,"-",Settings!K25) = "-","",CONCATENATE(Settings!J25,"-",Settings!K25))</f>
        <v/>
      </c>
      <c r="O21" t="str">
        <f>IF(Settings!O25="","",Settings!O25)</f>
        <v/>
      </c>
      <c r="P21" t="str">
        <f>Settings!Q25</f>
        <v/>
      </c>
      <c r="Q21" t="str">
        <f>_xlfn.CONCAT(Settings!R25," ",Settings!F25)</f>
        <v xml:space="preserve"> </v>
      </c>
    </row>
    <row r="22" spans="3:17" x14ac:dyDescent="0.3">
      <c r="C22" t="str">
        <f>IF(Settings!A26="","",Settings!A26)</f>
        <v/>
      </c>
      <c r="D22" t="str">
        <f>IF(Settings!B26="","",Settings!B26)</f>
        <v/>
      </c>
      <c r="E22" t="str">
        <f>IF(CONCATENATE(Settings!C26," ",Settings!D26,"s")=" s"," ",CONCATENATE(Settings!C26," ",Settings!D26,"s"))</f>
        <v xml:space="preserve"> </v>
      </c>
      <c r="F22" t="str">
        <f>IF(Settings!L26="","",Settings!L26)</f>
        <v/>
      </c>
      <c r="G22" t="str">
        <f>CONCATENATE(Settings!E26," ",Settings!F26)</f>
        <v xml:space="preserve"> </v>
      </c>
      <c r="H22" t="str">
        <f>CONCATENATE(Settings!G26," ",Settings!F26)</f>
        <v xml:space="preserve"> </v>
      </c>
      <c r="I22" t="str">
        <f>CONCATENATE(Settings!H26," ",Settings!F26)</f>
        <v xml:space="preserve"> </v>
      </c>
      <c r="J22" t="str">
        <f>CONCATENATE(Settings!I26," ",Settings!F26)</f>
        <v xml:space="preserve"> </v>
      </c>
      <c r="L22" t="str">
        <f>IF(Settings!M26="","",Settings!M26)</f>
        <v/>
      </c>
      <c r="M22" t="str">
        <f>IF(Settings!N26="","",Settings!N26)</f>
        <v/>
      </c>
      <c r="N22" t="str">
        <f>IF(CONCATENATE(Settings!J26,"-",Settings!K26) = "-","",CONCATENATE(Settings!J26,"-",Settings!K26))</f>
        <v/>
      </c>
      <c r="O22" t="str">
        <f>IF(Settings!O26="","",Settings!O26)</f>
        <v/>
      </c>
      <c r="P22" t="str">
        <f>Settings!Q26</f>
        <v/>
      </c>
      <c r="Q22" t="str">
        <f>_xlfn.CONCAT(Settings!R26," ",Settings!F26)</f>
        <v xml:space="preserve"> </v>
      </c>
    </row>
    <row r="23" spans="3:17" x14ac:dyDescent="0.3">
      <c r="C23" t="str">
        <f>IF(Settings!A27="","",Settings!A27)</f>
        <v/>
      </c>
      <c r="D23" t="str">
        <f>IF(Settings!B27="","",Settings!B27)</f>
        <v/>
      </c>
      <c r="E23" t="str">
        <f>IF(CONCATENATE(Settings!C27," ",Settings!D27,"s")=" s"," ",CONCATENATE(Settings!C27," ",Settings!D27,"s"))</f>
        <v xml:space="preserve"> </v>
      </c>
      <c r="F23" t="str">
        <f>IF(Settings!L27="","",Settings!L27)</f>
        <v/>
      </c>
      <c r="G23" t="str">
        <f>CONCATENATE(Settings!E27," ",Settings!F27)</f>
        <v xml:space="preserve"> </v>
      </c>
      <c r="H23" t="str">
        <f>CONCATENATE(Settings!G27," ",Settings!F27)</f>
        <v xml:space="preserve"> </v>
      </c>
      <c r="I23" t="str">
        <f>CONCATENATE(Settings!H27," ",Settings!F27)</f>
        <v xml:space="preserve"> </v>
      </c>
      <c r="J23" t="str">
        <f>CONCATENATE(Settings!I27," ",Settings!F27)</f>
        <v xml:space="preserve"> </v>
      </c>
      <c r="L23" t="str">
        <f>IF(Settings!M27="","",Settings!M27)</f>
        <v/>
      </c>
      <c r="M23" t="str">
        <f>IF(Settings!N27="","",Settings!N27)</f>
        <v/>
      </c>
      <c r="N23" t="str">
        <f>IF(CONCATENATE(Settings!J27,"-",Settings!K27) = "-","",CONCATENATE(Settings!J27,"-",Settings!K27))</f>
        <v/>
      </c>
      <c r="O23" t="str">
        <f>IF(Settings!O27="","",Settings!O27)</f>
        <v/>
      </c>
      <c r="P23" t="str">
        <f>Settings!Q27</f>
        <v/>
      </c>
      <c r="Q23" t="str">
        <f>_xlfn.CONCAT(Settings!R27," ",Settings!F27)</f>
        <v xml:space="preserve"> </v>
      </c>
    </row>
    <row r="24" spans="3:17" x14ac:dyDescent="0.3">
      <c r="C24" t="str">
        <f>IF(Settings!A28="","",Settings!A28)</f>
        <v/>
      </c>
      <c r="D24" t="str">
        <f>IF(Settings!B28="","",Settings!B28)</f>
        <v/>
      </c>
      <c r="E24" t="str">
        <f>IF(CONCATENATE(Settings!C28," ",Settings!D28,"s")=" s"," ",CONCATENATE(Settings!C28," ",Settings!D28,"s"))</f>
        <v xml:space="preserve"> </v>
      </c>
      <c r="F24" t="str">
        <f>IF(Settings!L28="","",Settings!L28)</f>
        <v/>
      </c>
      <c r="G24" t="str">
        <f>CONCATENATE(Settings!E28," ",Settings!F28)</f>
        <v xml:space="preserve"> </v>
      </c>
      <c r="H24" t="str">
        <f>CONCATENATE(Settings!G28," ",Settings!F28)</f>
        <v xml:space="preserve"> </v>
      </c>
      <c r="I24" t="str">
        <f>CONCATENATE(Settings!H28," ",Settings!F28)</f>
        <v xml:space="preserve"> </v>
      </c>
      <c r="J24" t="str">
        <f>CONCATENATE(Settings!I28," ",Settings!F28)</f>
        <v xml:space="preserve"> </v>
      </c>
      <c r="L24" t="str">
        <f>IF(Settings!M28="","",Settings!M28)</f>
        <v/>
      </c>
      <c r="M24" t="str">
        <f>IF(Settings!N28="","",Settings!N28)</f>
        <v/>
      </c>
      <c r="N24" t="str">
        <f>IF(CONCATENATE(Settings!J28,"-",Settings!K28) = "-","",CONCATENATE(Settings!J28,"-",Settings!K28))</f>
        <v/>
      </c>
      <c r="O24" t="str">
        <f>IF(Settings!O28="","",Settings!O28)</f>
        <v/>
      </c>
      <c r="P24" t="str">
        <f>Settings!Q28</f>
        <v/>
      </c>
      <c r="Q24" t="str">
        <f>_xlfn.CONCAT(Settings!R28," ",Settings!F28)</f>
        <v xml:space="preserve"> </v>
      </c>
    </row>
    <row r="25" spans="3:17" x14ac:dyDescent="0.3">
      <c r="C25" t="str">
        <f>IF(Settings!A29="","",Settings!A29)</f>
        <v/>
      </c>
      <c r="D25" t="str">
        <f>IF(Settings!B29="","",Settings!B29)</f>
        <v/>
      </c>
      <c r="E25" t="str">
        <f>IF(CONCATENATE(Settings!C29," ",Settings!D29,"s")=" s"," ",CONCATENATE(Settings!C29," ",Settings!D29,"s"))</f>
        <v xml:space="preserve"> </v>
      </c>
      <c r="F25" t="str">
        <f>IF(Settings!L29="","",Settings!L29)</f>
        <v/>
      </c>
      <c r="G25" t="str">
        <f>CONCATENATE(Settings!E29," ",Settings!F29)</f>
        <v xml:space="preserve"> </v>
      </c>
      <c r="H25" t="str">
        <f>CONCATENATE(Settings!G29," ",Settings!F29)</f>
        <v xml:space="preserve"> </v>
      </c>
      <c r="I25" t="str">
        <f>CONCATENATE(Settings!H29," ",Settings!F29)</f>
        <v xml:space="preserve"> </v>
      </c>
      <c r="J25" t="str">
        <f>CONCATENATE(Settings!I29," ",Settings!F29)</f>
        <v xml:space="preserve"> </v>
      </c>
      <c r="L25" t="str">
        <f>IF(Settings!M29="","",Settings!M29)</f>
        <v/>
      </c>
      <c r="M25" t="str">
        <f>IF(Settings!N29="","",Settings!N29)</f>
        <v/>
      </c>
      <c r="N25" t="str">
        <f>IF(CONCATENATE(Settings!J29,"-",Settings!K29) = "-","",CONCATENATE(Settings!J29,"-",Settings!K29))</f>
        <v/>
      </c>
      <c r="O25" t="str">
        <f>IF(Settings!O29="","",Settings!O29)</f>
        <v/>
      </c>
      <c r="P25" t="str">
        <f>Settings!Q29</f>
        <v/>
      </c>
      <c r="Q25" t="str">
        <f>_xlfn.CONCAT(Settings!R29," ",Settings!F29)</f>
        <v xml:space="preserve"> </v>
      </c>
    </row>
    <row r="26" spans="3:17" x14ac:dyDescent="0.3">
      <c r="C26" t="str">
        <f>IF(Settings!A30="","",Settings!A30)</f>
        <v/>
      </c>
      <c r="D26" t="str">
        <f>IF(Settings!B30="","",Settings!B30)</f>
        <v/>
      </c>
      <c r="E26" t="str">
        <f>IF(CONCATENATE(Settings!C30," ",Settings!D30,"s")=" s"," ",CONCATENATE(Settings!C30," ",Settings!D30,"s"))</f>
        <v xml:space="preserve"> </v>
      </c>
      <c r="F26" t="str">
        <f>IF(Settings!L30="","",Settings!L30)</f>
        <v/>
      </c>
      <c r="G26" t="str">
        <f>CONCATENATE(Settings!E30," ",Settings!F30)</f>
        <v xml:space="preserve"> </v>
      </c>
      <c r="H26" t="str">
        <f>CONCATENATE(Settings!G30," ",Settings!F30)</f>
        <v xml:space="preserve"> </v>
      </c>
      <c r="I26" t="str">
        <f>CONCATENATE(Settings!H30," ",Settings!F30)</f>
        <v xml:space="preserve"> </v>
      </c>
      <c r="J26" t="str">
        <f>CONCATENATE(Settings!I30," ",Settings!F30)</f>
        <v xml:space="preserve"> </v>
      </c>
      <c r="L26" t="str">
        <f>IF(Settings!M30="","",Settings!M30)</f>
        <v/>
      </c>
      <c r="M26" t="str">
        <f>IF(Settings!N30="","",Settings!N30)</f>
        <v/>
      </c>
      <c r="N26" t="str">
        <f>IF(CONCATENATE(Settings!J30,"-",Settings!K30) = "-","",CONCATENATE(Settings!J30,"-",Settings!K30))</f>
        <v/>
      </c>
      <c r="O26" t="str">
        <f>IF(Settings!O30="","",Settings!O30)</f>
        <v/>
      </c>
      <c r="P26" t="str">
        <f>Settings!Q30</f>
        <v/>
      </c>
      <c r="Q26" t="str">
        <f>_xlfn.CONCAT(Settings!R30," ",Settings!F30)</f>
        <v xml:space="preserve"> </v>
      </c>
    </row>
    <row r="27" spans="3:17" x14ac:dyDescent="0.3">
      <c r="C27" t="str">
        <f>IF(Settings!A31="","",Settings!A31)</f>
        <v/>
      </c>
      <c r="D27" t="str">
        <f>IF(Settings!B31="","",Settings!B31)</f>
        <v/>
      </c>
      <c r="E27" t="str">
        <f>IF(CONCATENATE(Settings!C31," ",Settings!D31,"s")=" s"," ",CONCATENATE(Settings!C31," ",Settings!D31,"s"))</f>
        <v xml:space="preserve"> </v>
      </c>
      <c r="F27" t="str">
        <f>IF(Settings!L31="","",Settings!L31)</f>
        <v/>
      </c>
      <c r="G27" t="str">
        <f>CONCATENATE(Settings!E31," ",Settings!F31)</f>
        <v xml:space="preserve"> </v>
      </c>
      <c r="H27" t="str">
        <f>CONCATENATE(Settings!G31," ",Settings!F31)</f>
        <v xml:space="preserve"> </v>
      </c>
      <c r="I27" t="str">
        <f>CONCATENATE(Settings!H31," ",Settings!F31)</f>
        <v xml:space="preserve"> </v>
      </c>
      <c r="J27" t="str">
        <f>CONCATENATE(Settings!I31," ",Settings!F31)</f>
        <v xml:space="preserve"> </v>
      </c>
      <c r="L27" t="str">
        <f>IF(Settings!M31="","",Settings!M31)</f>
        <v/>
      </c>
      <c r="M27" t="str">
        <f>IF(Settings!N31="","",Settings!N31)</f>
        <v/>
      </c>
      <c r="N27" t="str">
        <f>IF(CONCATENATE(Settings!J31,"-",Settings!K31) = "-","",CONCATENATE(Settings!J31,"-",Settings!K31))</f>
        <v/>
      </c>
      <c r="O27" t="str">
        <f>IF(Settings!O31="","",Settings!O31)</f>
        <v/>
      </c>
      <c r="P27" t="str">
        <f>Settings!Q31</f>
        <v/>
      </c>
      <c r="Q27" t="str">
        <f>_xlfn.CONCAT(Settings!R31," ",Settings!F31)</f>
        <v xml:space="preserve"> </v>
      </c>
    </row>
    <row r="28" spans="3:17" x14ac:dyDescent="0.3">
      <c r="C28" t="str">
        <f>IF(Settings!A32="","",Settings!A32)</f>
        <v/>
      </c>
      <c r="D28" t="str">
        <f>IF(Settings!B32="","",Settings!B32)</f>
        <v/>
      </c>
      <c r="E28" t="str">
        <f>IF(CONCATENATE(Settings!C32," ",Settings!D32,"s")=" s"," ",CONCATENATE(Settings!C32," ",Settings!D32,"s"))</f>
        <v xml:space="preserve"> </v>
      </c>
      <c r="F28" t="str">
        <f>IF(Settings!L32="","",Settings!L32)</f>
        <v/>
      </c>
      <c r="G28" t="str">
        <f>CONCATENATE(Settings!E32," ",Settings!F32)</f>
        <v xml:space="preserve"> </v>
      </c>
      <c r="H28" t="str">
        <f>CONCATENATE(Settings!G32," ",Settings!F32)</f>
        <v xml:space="preserve"> </v>
      </c>
      <c r="I28" t="str">
        <f>CONCATENATE(Settings!H32," ",Settings!F32)</f>
        <v xml:space="preserve"> </v>
      </c>
      <c r="J28" t="str">
        <f>CONCATENATE(Settings!I32," ",Settings!F32)</f>
        <v xml:space="preserve"> </v>
      </c>
      <c r="N28" t="str">
        <f t="shared" ref="N28:N33" si="0">IF(CONCATENATE(J80,"-",K80) = "-","",CONCATENATE(J80,"-",K80))</f>
        <v/>
      </c>
    </row>
    <row r="29" spans="3:17" x14ac:dyDescent="0.3">
      <c r="C29" t="str">
        <f>IF(Settings!A33="","",Settings!A33)</f>
        <v/>
      </c>
      <c r="D29" t="str">
        <f>IF(Settings!B33="","",Settings!B33)</f>
        <v/>
      </c>
      <c r="E29" t="str">
        <f>IF(CONCATENATE(Settings!C33," ",Settings!D33,"s")=" s"," ",CONCATENATE(Settings!C33," ",Settings!D33,"s"))</f>
        <v xml:space="preserve"> </v>
      </c>
      <c r="F29" t="str">
        <f>IF(Settings!L33="","",Settings!L33)</f>
        <v/>
      </c>
      <c r="G29" t="str">
        <f>CONCATENATE(Settings!E33," ",Settings!F33)</f>
        <v xml:space="preserve"> </v>
      </c>
      <c r="H29" t="str">
        <f>CONCATENATE(Settings!G33," ",Settings!F33)</f>
        <v xml:space="preserve"> </v>
      </c>
      <c r="I29" t="str">
        <f>CONCATENATE(Settings!H33," ",Settings!F33)</f>
        <v xml:space="preserve"> </v>
      </c>
      <c r="J29" t="str">
        <f>CONCATENATE(Settings!I33," ",Settings!F33)</f>
        <v xml:space="preserve"> </v>
      </c>
      <c r="N29" t="str">
        <f t="shared" si="0"/>
        <v/>
      </c>
      <c r="P29" s="2" t="s">
        <v>36</v>
      </c>
      <c r="Q29" t="str">
        <f>_xlfn.CONCAT(Settings!S18," ",Settings!F18)</f>
        <v>${offerValidation.AMOUNT_IN_NUMBERS} ${table:offerProductValidation.CURRENCY}</v>
      </c>
    </row>
    <row r="30" spans="3:17" x14ac:dyDescent="0.3">
      <c r="C30" t="str">
        <f>IF(Settings!A34="","",Settings!A34)</f>
        <v/>
      </c>
      <c r="D30" t="str">
        <f>IF(Settings!B34="","",Settings!B34)</f>
        <v/>
      </c>
      <c r="E30" t="str">
        <f>IF(CONCATENATE(Settings!C34," ",Settings!D34,"s")=" s"," ",CONCATENATE(Settings!C34," ",Settings!D34,"s"))</f>
        <v xml:space="preserve"> </v>
      </c>
      <c r="F30" t="str">
        <f>IF(Settings!L34="","",Settings!L34)</f>
        <v/>
      </c>
      <c r="G30" t="str">
        <f>CONCATENATE(Settings!E34," ",Settings!F34)</f>
        <v xml:space="preserve"> </v>
      </c>
      <c r="H30" t="str">
        <f>CONCATENATE(Settings!G34," ",Settings!F34)</f>
        <v xml:space="preserve"> </v>
      </c>
      <c r="I30" t="str">
        <f>CONCATENATE(Settings!H34," ",Settings!F34)</f>
        <v xml:space="preserve"> </v>
      </c>
      <c r="J30" t="str">
        <f>CONCATENATE(Settings!I34," ",Settings!F34)</f>
        <v xml:space="preserve"> </v>
      </c>
      <c r="N30" t="str">
        <f t="shared" si="0"/>
        <v/>
      </c>
      <c r="P30" s="8"/>
    </row>
    <row r="31" spans="3:17" x14ac:dyDescent="0.3">
      <c r="E31" t="str">
        <f>IF(CONCATENATE(Quotation!C83," ",Quotation!D83,"s")=" s"," ",CONCATENATE(Quotation!C83," ",Quotation!D83,"s"))</f>
        <v xml:space="preserve"> </v>
      </c>
      <c r="G31" t="str">
        <f>CONCATENATE(Settings!E35," ",Settings!F35)</f>
        <v xml:space="preserve"> </v>
      </c>
      <c r="H31" t="str">
        <f t="shared" ref="H31:H35" si="1">CONCATENATE(G83," ",F83)</f>
        <v xml:space="preserve"> </v>
      </c>
      <c r="I31" t="str">
        <f t="shared" ref="I31:I35" si="2">CONCATENATE(H83," ",F83)</f>
        <v xml:space="preserve"> </v>
      </c>
      <c r="J31" t="str">
        <f t="shared" ref="J31:J34" si="3">CONCATENATE(I83," ",F83)</f>
        <v xml:space="preserve"> </v>
      </c>
      <c r="N31" t="str">
        <f t="shared" si="0"/>
        <v/>
      </c>
      <c r="P31" s="2" t="s">
        <v>37</v>
      </c>
      <c r="Q31" t="str">
        <f>_xlfn.CONCAT(Settings!T18," ",Settings!F18)</f>
        <v>${offerValidation.VAT_TOTAL} ${table:offerProductValidation.CURRENCY}</v>
      </c>
    </row>
    <row r="32" spans="3:17" x14ac:dyDescent="0.3">
      <c r="E32" t="str">
        <f>IF(CONCATENATE(Quotation!C84," ",Quotation!D84,"s")=" s"," ",CONCATENATE(Quotation!C84," ",Quotation!D84,"s"))</f>
        <v xml:space="preserve"> </v>
      </c>
      <c r="G32" t="str">
        <f>CONCATENATE(Settings!E36," ",Settings!F36)</f>
        <v xml:space="preserve"> </v>
      </c>
      <c r="H32" t="str">
        <f t="shared" si="1"/>
        <v xml:space="preserve"> </v>
      </c>
      <c r="I32" t="str">
        <f t="shared" si="2"/>
        <v xml:space="preserve"> </v>
      </c>
      <c r="J32" t="str">
        <f t="shared" si="3"/>
        <v xml:space="preserve"> </v>
      </c>
      <c r="N32" t="str">
        <f t="shared" si="0"/>
        <v/>
      </c>
      <c r="P32" s="8"/>
    </row>
    <row r="33" spans="5:17" x14ac:dyDescent="0.3">
      <c r="E33" t="str">
        <f>IF(CONCATENATE(Quotation!C85," ",Quotation!D85,"s")=" s"," ",CONCATENATE(Quotation!C85," ",Quotation!D85,"s"))</f>
        <v xml:space="preserve"> </v>
      </c>
      <c r="G33" t="str">
        <f>CONCATENATE(Settings!E37," ",Settings!F37)</f>
        <v xml:space="preserve"> </v>
      </c>
      <c r="H33" t="str">
        <f t="shared" si="1"/>
        <v xml:space="preserve"> </v>
      </c>
      <c r="I33" t="str">
        <f t="shared" si="2"/>
        <v xml:space="preserve"> </v>
      </c>
      <c r="J33" t="str">
        <f t="shared" si="3"/>
        <v xml:space="preserve"> </v>
      </c>
      <c r="N33" t="str">
        <f t="shared" si="0"/>
        <v/>
      </c>
      <c r="P33" s="2" t="s">
        <v>38</v>
      </c>
      <c r="Q33" t="str">
        <f>_xlfn.CONCAT(Settings!U18," ",Settings!F18)</f>
        <v>${offerValidation.AMOUNT_IN_NUMBERS_VAT} ${table:offerProductValidation.CURRENCY}</v>
      </c>
    </row>
    <row r="34" spans="5:17" x14ac:dyDescent="0.3">
      <c r="E34" t="str">
        <f>IF(CONCATENATE(Quotation!C86," ",Quotation!D86,"s")=" s"," ",CONCATENATE(Quotation!C86," ",Quotation!D86,"s"))</f>
        <v xml:space="preserve"> </v>
      </c>
      <c r="G34" t="str">
        <f>CONCATENATE(Settings!E38," ",Settings!F38)</f>
        <v xml:space="preserve"> </v>
      </c>
      <c r="H34" t="str">
        <f t="shared" si="1"/>
        <v xml:space="preserve"> </v>
      </c>
      <c r="I34" t="str">
        <f t="shared" si="2"/>
        <v xml:space="preserve"> </v>
      </c>
      <c r="J34" t="str">
        <f t="shared" si="3"/>
        <v xml:space="preserve"> </v>
      </c>
    </row>
    <row r="35" spans="5:17" x14ac:dyDescent="0.3">
      <c r="E35" t="str">
        <f>IF(CONCATENATE(Quotation!C87," ",Quotation!D87,"s")=" s"," ",CONCATENATE(Quotation!C87," ",Quotation!D87,"s"))</f>
        <v xml:space="preserve"> </v>
      </c>
      <c r="H35" t="str">
        <f t="shared" si="1"/>
        <v xml:space="preserve"> </v>
      </c>
      <c r="I35" t="str">
        <f t="shared" si="2"/>
        <v xml:space="preserve"> </v>
      </c>
    </row>
    <row r="36" spans="5:17" x14ac:dyDescent="0.3">
      <c r="E36" t="str">
        <f>IF(CONCATENATE(Quotation!C88," ",Quotation!D88,"s")=" s"," ",CONCATENATE(Quotation!C88," ",Quotation!D88,"s"))</f>
        <v xml:space="preserve"> </v>
      </c>
    </row>
  </sheetData>
  <mergeCells count="7">
    <mergeCell ref="L8:N8"/>
    <mergeCell ref="C8:E8"/>
    <mergeCell ref="C11:E11"/>
    <mergeCell ref="F8:H8"/>
    <mergeCell ref="F11:H11"/>
    <mergeCell ref="I8:K8"/>
    <mergeCell ref="I11:K11"/>
  </mergeCells>
  <pageMargins left="0.70866141732283472" right="0.70866141732283472" top="0.74803149606299213" bottom="0.74803149606299213" header="0.31496062992125984" footer="0.31496062992125984"/>
  <pageSetup paperSize="9" scale="51" orientation="landscape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DA0-6CEF-4001-8243-A13FFD1BF3BE}">
  <dimension ref="A1:U52"/>
  <sheetViews>
    <sheetView topLeftCell="L8" zoomScale="85" zoomScaleNormal="85" workbookViewId="0">
      <selection activeCell="Q19" sqref="Q19"/>
    </sheetView>
  </sheetViews>
  <sheetFormatPr defaultRowHeight="14.4" x14ac:dyDescent="0.3"/>
  <cols>
    <col min="1" max="1" width="43.5546875" bestFit="1" customWidth="1"/>
    <col min="2" max="2" width="50.21875" bestFit="1" customWidth="1"/>
    <col min="3" max="3" width="47.33203125" bestFit="1" customWidth="1"/>
    <col min="4" max="4" width="36.77734375" bestFit="1" customWidth="1"/>
    <col min="5" max="5" width="46.6640625" bestFit="1" customWidth="1"/>
    <col min="6" max="6" width="44.33203125" bestFit="1" customWidth="1"/>
    <col min="7" max="7" width="52.33203125" bestFit="1" customWidth="1"/>
    <col min="8" max="8" width="69.33203125" bestFit="1" customWidth="1"/>
    <col min="9" max="9" width="75.44140625" bestFit="1" customWidth="1"/>
    <col min="10" max="10" width="42.33203125" bestFit="1" customWidth="1"/>
    <col min="11" max="11" width="40.5546875" bestFit="1" customWidth="1"/>
    <col min="12" max="12" width="42.109375" bestFit="1" customWidth="1"/>
    <col min="13" max="13" width="41.77734375" bestFit="1" customWidth="1"/>
    <col min="14" max="14" width="52.88671875" bestFit="1" customWidth="1"/>
    <col min="15" max="15" width="36.21875" bestFit="1" customWidth="1"/>
    <col min="16" max="16" width="46.6640625" bestFit="1" customWidth="1"/>
    <col min="17" max="17" width="16.21875" customWidth="1"/>
    <col min="18" max="18" width="39.5546875" bestFit="1" customWidth="1"/>
    <col min="19" max="19" width="38.88671875" bestFit="1" customWidth="1"/>
    <col min="20" max="20" width="27.109375" bestFit="1" customWidth="1"/>
    <col min="21" max="21" width="43.33203125" bestFit="1" customWidth="1"/>
  </cols>
  <sheetData>
    <row r="1" spans="1:2" x14ac:dyDescent="0.3">
      <c r="A1" s="11" t="s">
        <v>57</v>
      </c>
      <c r="B1" s="11" t="s">
        <v>58</v>
      </c>
    </row>
    <row r="2" spans="1:2" x14ac:dyDescent="0.3">
      <c r="A2" t="s">
        <v>23</v>
      </c>
      <c r="B2" t="s">
        <v>3</v>
      </c>
    </row>
    <row r="3" spans="1:2" x14ac:dyDescent="0.3">
      <c r="A3" t="s">
        <v>24</v>
      </c>
      <c r="B3" t="s">
        <v>4</v>
      </c>
    </row>
    <row r="4" spans="1:2" x14ac:dyDescent="0.3">
      <c r="A4" t="s">
        <v>25</v>
      </c>
      <c r="B4" t="s">
        <v>5</v>
      </c>
    </row>
    <row r="5" spans="1:2" x14ac:dyDescent="0.3">
      <c r="A5" t="s">
        <v>26</v>
      </c>
      <c r="B5" t="s">
        <v>6</v>
      </c>
    </row>
    <row r="6" spans="1:2" x14ac:dyDescent="0.3">
      <c r="A6" t="s">
        <v>29</v>
      </c>
      <c r="B6" t="s">
        <v>7</v>
      </c>
    </row>
    <row r="7" spans="1:2" x14ac:dyDescent="0.3">
      <c r="A7" t="s">
        <v>28</v>
      </c>
      <c r="B7" t="s">
        <v>8</v>
      </c>
    </row>
    <row r="8" spans="1:2" x14ac:dyDescent="0.3">
      <c r="A8" t="s">
        <v>27</v>
      </c>
      <c r="B8" t="s">
        <v>9</v>
      </c>
    </row>
    <row r="9" spans="1:2" x14ac:dyDescent="0.3">
      <c r="A9" t="s">
        <v>0</v>
      </c>
      <c r="B9" t="s">
        <v>1</v>
      </c>
    </row>
    <row r="10" spans="1:2" x14ac:dyDescent="0.3">
      <c r="A10" t="s">
        <v>71</v>
      </c>
      <c r="B10" t="s">
        <v>72</v>
      </c>
    </row>
    <row r="16" spans="1:2" x14ac:dyDescent="0.3">
      <c r="A16" s="11" t="s">
        <v>59</v>
      </c>
    </row>
    <row r="17" spans="1:21" x14ac:dyDescent="0.3">
      <c r="A17" s="17" t="s">
        <v>60</v>
      </c>
      <c r="B17" s="18" t="s">
        <v>61</v>
      </c>
      <c r="C17" s="12" t="s">
        <v>41</v>
      </c>
      <c r="D17" s="12" t="s">
        <v>42</v>
      </c>
      <c r="E17" s="12" t="s">
        <v>44</v>
      </c>
      <c r="F17" s="12" t="s">
        <v>46</v>
      </c>
      <c r="G17" s="12" t="s">
        <v>47</v>
      </c>
      <c r="H17" s="12" t="s">
        <v>50</v>
      </c>
      <c r="I17" s="12" t="s">
        <v>52</v>
      </c>
      <c r="J17" s="12" t="s">
        <v>54</v>
      </c>
      <c r="K17" s="12" t="s">
        <v>56</v>
      </c>
      <c r="L17" s="12" t="s">
        <v>12</v>
      </c>
      <c r="M17" s="12" t="s">
        <v>17</v>
      </c>
      <c r="N17" s="12" t="s">
        <v>18</v>
      </c>
      <c r="O17" s="12" t="s">
        <v>20</v>
      </c>
      <c r="P17" s="12" t="s">
        <v>62</v>
      </c>
      <c r="Q17" s="12" t="s">
        <v>63</v>
      </c>
      <c r="R17" s="12" t="s">
        <v>64</v>
      </c>
      <c r="S17" s="12" t="s">
        <v>66</v>
      </c>
      <c r="T17" s="12" t="s">
        <v>68</v>
      </c>
      <c r="U17" s="12" t="s">
        <v>70</v>
      </c>
    </row>
    <row r="18" spans="1:21" x14ac:dyDescent="0.3">
      <c r="A18" s="13" t="s">
        <v>31</v>
      </c>
      <c r="B18" s="14" t="s">
        <v>30</v>
      </c>
      <c r="C18" t="s">
        <v>39</v>
      </c>
      <c r="D18" t="s">
        <v>40</v>
      </c>
      <c r="E18" s="22" t="s">
        <v>43</v>
      </c>
      <c r="F18" t="s">
        <v>45</v>
      </c>
      <c r="G18" s="22" t="s">
        <v>48</v>
      </c>
      <c r="H18" s="22" t="s">
        <v>49</v>
      </c>
      <c r="I18" s="22" t="s">
        <v>51</v>
      </c>
      <c r="J18" t="s">
        <v>53</v>
      </c>
      <c r="K18" t="s">
        <v>55</v>
      </c>
      <c r="L18" t="s">
        <v>32</v>
      </c>
      <c r="M18" t="s">
        <v>33</v>
      </c>
      <c r="N18" t="s">
        <v>34</v>
      </c>
      <c r="O18" t="s">
        <v>35</v>
      </c>
      <c r="P18" t="s">
        <v>74</v>
      </c>
      <c r="Q18" t="e">
        <f>IF(D18&gt;0,IF(D18="Unit",CONCATENATE(Settings!P18," ",Settings!D18,"s"),CONCATENATE((Settings!P18/Settings!L18)," ",Settings!D18,"s")),"")</f>
        <v>#VALUE!</v>
      </c>
      <c r="R18" t="s">
        <v>65</v>
      </c>
      <c r="S18" t="s">
        <v>67</v>
      </c>
      <c r="T18" t="s">
        <v>73</v>
      </c>
      <c r="U18" t="s">
        <v>69</v>
      </c>
    </row>
    <row r="19" spans="1:21" x14ac:dyDescent="0.3">
      <c r="A19" s="13"/>
      <c r="B19" s="14"/>
      <c r="E19" s="22"/>
      <c r="G19" s="22"/>
      <c r="H19" s="22"/>
      <c r="I19" s="22"/>
      <c r="Q19" t="str">
        <f>IF(D19&gt;0,IF(D19="Unit",CONCATENATE(Settings!P19," ",Settings!D19,"s"),CONCATENATE((Settings!P19/Settings!L19)," ",Settings!D19,"s")),"")</f>
        <v/>
      </c>
    </row>
    <row r="20" spans="1:21" x14ac:dyDescent="0.3">
      <c r="A20" s="13"/>
      <c r="B20" s="14"/>
      <c r="E20" s="22"/>
      <c r="G20" s="22"/>
      <c r="H20" s="22"/>
      <c r="I20" s="22"/>
      <c r="Q20" t="str">
        <f>IF(D20&gt;0,IF(D20="Unit",CONCATENATE(Settings!P20," ",Settings!D20,"s"),CONCATENATE((Settings!P20/Settings!L20)," ",Settings!D20,"s")),"")</f>
        <v/>
      </c>
    </row>
    <row r="21" spans="1:21" x14ac:dyDescent="0.3">
      <c r="A21" s="13"/>
      <c r="B21" s="14"/>
      <c r="E21" s="22"/>
      <c r="G21" s="22"/>
      <c r="H21" s="22"/>
      <c r="I21" s="22"/>
      <c r="Q21" t="str">
        <f>IF(D21&gt;0,IF(D21="Unit",CONCATENATE(Settings!P21," ",Settings!D21,"s"),CONCATENATE((Settings!P21/Settings!L21)," ",Settings!D21,"s")),"")</f>
        <v/>
      </c>
    </row>
    <row r="22" spans="1:21" x14ac:dyDescent="0.3">
      <c r="A22" s="13"/>
      <c r="B22" s="14"/>
      <c r="E22" s="22"/>
      <c r="G22" s="22"/>
      <c r="H22" s="22"/>
      <c r="I22" s="22"/>
      <c r="Q22" t="str">
        <f>IF(D22&gt;0,IF(D22="Unit",CONCATENATE(Settings!P22," ",Settings!D22,"s"),CONCATENATE((Settings!P22/Settings!L22)," ",Settings!D22,"s")),"")</f>
        <v/>
      </c>
    </row>
    <row r="23" spans="1:21" x14ac:dyDescent="0.3">
      <c r="A23" s="13"/>
      <c r="B23" s="14"/>
      <c r="E23" s="22"/>
      <c r="G23" s="22"/>
      <c r="H23" s="22"/>
      <c r="I23" s="22"/>
      <c r="Q23" t="str">
        <f>IF(D23&gt;0,IF(D23="Unit",CONCATENATE(Settings!P23," ",Settings!D23,"s"),CONCATENATE((Settings!P23/Settings!L23)," ",Settings!D23,"s")),"")</f>
        <v/>
      </c>
    </row>
    <row r="24" spans="1:21" x14ac:dyDescent="0.3">
      <c r="A24" s="13"/>
      <c r="B24" s="14"/>
      <c r="E24" s="22"/>
      <c r="G24" s="22"/>
      <c r="H24" s="22"/>
      <c r="I24" s="22"/>
      <c r="Q24" t="str">
        <f>IF(D24&gt;0,IF(D24="Unit",CONCATENATE(Settings!P24," ",Settings!D24,"s"),CONCATENATE((Settings!P24/Settings!L24)," ",Settings!D24,"s")),"")</f>
        <v/>
      </c>
    </row>
    <row r="25" spans="1:21" x14ac:dyDescent="0.3">
      <c r="A25" s="13"/>
      <c r="B25" s="14"/>
      <c r="E25" s="22"/>
      <c r="G25" s="22"/>
      <c r="H25" s="22"/>
      <c r="I25" s="22"/>
      <c r="Q25" t="str">
        <f>IF(D25&gt;0,IF(D25="Unit",CONCATENATE(Settings!P25," ",Settings!D25,"s"),CONCATENATE((Settings!P25/Settings!L25)," ",Settings!D25,"s")),"")</f>
        <v/>
      </c>
    </row>
    <row r="26" spans="1:21" x14ac:dyDescent="0.3">
      <c r="A26" s="13"/>
      <c r="B26" s="14"/>
      <c r="E26" s="22"/>
      <c r="G26" s="22"/>
      <c r="H26" s="22"/>
      <c r="I26" s="22"/>
      <c r="Q26" t="str">
        <f>IF(D26&gt;0,IF(D26="Unit",CONCATENATE(Settings!P26," ",Settings!D26,"s"),CONCATENATE((Settings!P26/Settings!L26)," ",Settings!D26,"s")),"")</f>
        <v/>
      </c>
    </row>
    <row r="27" spans="1:21" x14ac:dyDescent="0.3">
      <c r="A27" s="13"/>
      <c r="B27" s="14"/>
      <c r="E27" s="22"/>
      <c r="G27" s="22"/>
      <c r="H27" s="22"/>
      <c r="I27" s="22"/>
      <c r="Q27" t="str">
        <f>IF(D27&gt;0,IF(D27="Unit",CONCATENATE(Settings!P27," ",Settings!D27,"s"),CONCATENATE((Settings!P27/Settings!L27)," ",Settings!D27,"s")),"")</f>
        <v/>
      </c>
    </row>
    <row r="28" spans="1:21" x14ac:dyDescent="0.3">
      <c r="A28" s="13"/>
      <c r="B28" s="14"/>
      <c r="E28" s="22"/>
      <c r="G28" s="22"/>
      <c r="H28" s="22"/>
      <c r="I28" s="22"/>
      <c r="Q28" t="str">
        <f>IF(D28&gt;0,IF(D28="Unit",CONCATENATE(Settings!P28," ",Settings!D28,"s"),CONCATENATE((Settings!P28/Settings!L28)," ",Settings!D28,"s")),"")</f>
        <v/>
      </c>
    </row>
    <row r="29" spans="1:21" x14ac:dyDescent="0.3">
      <c r="A29" s="13"/>
      <c r="B29" s="14"/>
      <c r="E29" s="22"/>
      <c r="G29" s="22"/>
      <c r="H29" s="22"/>
      <c r="I29" s="22"/>
      <c r="Q29" t="str">
        <f>IF(D29&gt;0,IF(D29="Unit",CONCATENATE(Settings!P29," ",Settings!D29,"s"),CONCATENATE((Settings!P29/Settings!L29)," ",Settings!D29,"s")),"")</f>
        <v/>
      </c>
    </row>
    <row r="30" spans="1:21" x14ac:dyDescent="0.3">
      <c r="A30" s="13"/>
      <c r="B30" s="14"/>
      <c r="E30" s="22"/>
      <c r="G30" s="22"/>
      <c r="H30" s="22"/>
      <c r="I30" s="22"/>
      <c r="Q30" t="str">
        <f>IF(D30&gt;0,IF(D30="Unit",CONCATENATE(Settings!P30," ",Settings!D30,"s"),CONCATENATE((Settings!P30/Settings!L30)," ",Settings!D30,"s")),"")</f>
        <v/>
      </c>
    </row>
    <row r="31" spans="1:21" x14ac:dyDescent="0.3">
      <c r="A31" s="13"/>
      <c r="B31" s="14"/>
      <c r="E31" s="22"/>
      <c r="G31" s="22"/>
      <c r="H31" s="22"/>
      <c r="I31" s="22"/>
      <c r="Q31" t="str">
        <f>IF(D31&gt;0,IF(D31="Unit",CONCATENATE(Settings!P31," ",Settings!D31,"s"),CONCATENATE((Settings!P31/Settings!L31)," ",Settings!D31,"s")),"")</f>
        <v/>
      </c>
    </row>
    <row r="32" spans="1:21" x14ac:dyDescent="0.3">
      <c r="A32" s="13"/>
      <c r="B32" s="14"/>
      <c r="E32" s="22"/>
      <c r="G32" s="22"/>
      <c r="H32" s="22"/>
      <c r="I32" s="22"/>
      <c r="Q32" t="str">
        <f>IF(D32&gt;0,IF(D32="Unit",CONCATENATE(Settings!P32," ",Settings!D32,"s"),CONCATENATE((Settings!P32/Settings!L32)," ",Settings!D32,"s")),"")</f>
        <v/>
      </c>
    </row>
    <row r="33" spans="1:17" x14ac:dyDescent="0.3">
      <c r="A33" s="13"/>
      <c r="B33" s="14"/>
      <c r="E33" s="22"/>
      <c r="G33" s="22"/>
      <c r="H33" s="22"/>
      <c r="I33" s="22"/>
      <c r="Q33" t="str">
        <f>IF(D33&gt;0,IF(D33="Unit",CONCATENATE(Settings!P33," ",Settings!D33,"s"),CONCATENATE((Settings!P33/Settings!L33)," ",Settings!D33,"s")),"")</f>
        <v/>
      </c>
    </row>
    <row r="34" spans="1:17" x14ac:dyDescent="0.3">
      <c r="A34" s="13"/>
      <c r="B34" s="14"/>
      <c r="E34" s="22"/>
      <c r="G34" s="22"/>
      <c r="H34" s="22"/>
      <c r="I34" s="22"/>
      <c r="Q34" t="str">
        <f>IF(D34&gt;0,IF(D34="Unit",CONCATENATE(Settings!P34," ",Settings!D34,"s"),CONCATENATE((Settings!P34/Settings!L34)," ",Settings!D34,"s")),"")</f>
        <v/>
      </c>
    </row>
    <row r="35" spans="1:17" x14ac:dyDescent="0.3">
      <c r="A35" s="13"/>
      <c r="B35" s="14"/>
      <c r="E35" s="22"/>
      <c r="G35" s="22"/>
      <c r="H35" s="22"/>
      <c r="I35" s="22"/>
      <c r="Q35" t="str">
        <f>IF(D35&gt;0,IF(D35="Unit",CONCATENATE(Settings!P35," ",Settings!D35,"s"),CONCATENATE((Settings!P35/Settings!L35)," ",Settings!D35,"s")),"")</f>
        <v/>
      </c>
    </row>
    <row r="36" spans="1:17" x14ac:dyDescent="0.3">
      <c r="A36" s="13"/>
      <c r="B36" s="14"/>
      <c r="E36" s="22"/>
      <c r="G36" s="22"/>
      <c r="H36" s="22"/>
      <c r="I36" s="22"/>
      <c r="Q36" t="str">
        <f>IF(D36&gt;0,IF(D36="Unit",CONCATENATE(Settings!P36," ",Settings!D36,"s"),CONCATENATE((Settings!P36/Settings!L36)," ",Settings!D36,"s")),"")</f>
        <v/>
      </c>
    </row>
    <row r="37" spans="1:17" x14ac:dyDescent="0.3">
      <c r="A37" s="13"/>
      <c r="B37" s="14"/>
      <c r="E37" s="22"/>
      <c r="G37" s="22"/>
      <c r="H37" s="22"/>
      <c r="I37" s="22"/>
      <c r="Q37" t="str">
        <f>IF(D37&gt;0,IF(D37="Unit",CONCATENATE(Settings!P37," ",Settings!D37,"s"),CONCATENATE((Settings!P37/Settings!L37)," ",Settings!D37,"s")),"")</f>
        <v/>
      </c>
    </row>
    <row r="38" spans="1:17" x14ac:dyDescent="0.3">
      <c r="A38" s="13"/>
      <c r="B38" s="14"/>
      <c r="E38" s="22"/>
      <c r="G38" s="22"/>
      <c r="H38" s="22"/>
      <c r="I38" s="22"/>
      <c r="Q38" t="str">
        <f>IF(D38&gt;0,IF(D38="Unit",CONCATENATE(Settings!P38," ",Settings!D38,"s"),CONCATENATE((Settings!P38/Settings!L38)," ",Settings!D38,"s")),"")</f>
        <v/>
      </c>
    </row>
    <row r="39" spans="1:17" x14ac:dyDescent="0.3">
      <c r="A39" s="13"/>
      <c r="B39" s="14"/>
      <c r="E39" s="22"/>
      <c r="G39" s="22"/>
      <c r="H39" s="22"/>
      <c r="I39" s="22"/>
      <c r="Q39" t="str">
        <f>IF(D39&gt;0,IF(D39="Unit",CONCATENATE(Settings!P39," ",Settings!D39,"s"),CONCATENATE((Settings!P39/Settings!L39)," ",Settings!D39,"s")),"")</f>
        <v/>
      </c>
    </row>
    <row r="40" spans="1:17" x14ac:dyDescent="0.3">
      <c r="A40" s="13"/>
      <c r="B40" s="14"/>
      <c r="E40" s="22"/>
      <c r="G40" s="22"/>
      <c r="H40" s="22"/>
      <c r="I40" s="22"/>
      <c r="Q40" t="str">
        <f>IF(D40&gt;0,IF(D40="Unit",CONCATENATE(Settings!P40," ",Settings!D40,"s"),CONCATENATE((Settings!P40/Settings!L40)," ",Settings!D40,"s")),"")</f>
        <v/>
      </c>
    </row>
    <row r="41" spans="1:17" x14ac:dyDescent="0.3">
      <c r="A41" s="13"/>
      <c r="B41" s="14"/>
      <c r="E41" s="22"/>
      <c r="G41" s="22"/>
      <c r="H41" s="22"/>
      <c r="I41" s="22"/>
      <c r="Q41" t="str">
        <f>IF(D41&gt;0,IF(D41="Unit",CONCATENATE(Settings!P41," ",Settings!D41,"s"),CONCATENATE((Settings!P41/Settings!L41)," ",Settings!D41,"s")),"")</f>
        <v/>
      </c>
    </row>
    <row r="42" spans="1:17" x14ac:dyDescent="0.3">
      <c r="A42" s="13"/>
      <c r="B42" s="14"/>
      <c r="E42" s="22"/>
      <c r="G42" s="22"/>
      <c r="H42" s="22"/>
      <c r="I42" s="22"/>
      <c r="Q42" t="str">
        <f>IF(D42&gt;0,IF(D42="Unit",CONCATENATE(Settings!P42," ",Settings!D42,"s"),CONCATENATE((Settings!P42/Settings!L42)," ",Settings!D42,"s")),"")</f>
        <v/>
      </c>
    </row>
    <row r="43" spans="1:17" x14ac:dyDescent="0.3">
      <c r="A43" s="13"/>
      <c r="B43" s="14"/>
      <c r="E43" s="22"/>
      <c r="G43" s="22"/>
      <c r="H43" s="22"/>
      <c r="I43" s="22"/>
      <c r="Q43" t="str">
        <f>IF(D43&gt;0,IF(D43="Unit",CONCATENATE(Settings!P43," ",Settings!D43,"s"),CONCATENATE((Settings!P43/Settings!L43)," ",Settings!D43,"s")),"")</f>
        <v/>
      </c>
    </row>
    <row r="44" spans="1:17" x14ac:dyDescent="0.3">
      <c r="A44" s="13"/>
      <c r="B44" s="14"/>
      <c r="E44" s="22"/>
      <c r="G44" s="22"/>
      <c r="H44" s="22"/>
      <c r="I44" s="22"/>
      <c r="Q44" t="str">
        <f>IF(D44&gt;0,IF(D44="Unit",CONCATENATE(Settings!P44," ",Settings!D44,"s"),CONCATENATE((Settings!P44/Settings!L44)," ",Settings!D44,"s")),"")</f>
        <v/>
      </c>
    </row>
    <row r="45" spans="1:17" x14ac:dyDescent="0.3">
      <c r="A45" s="13"/>
      <c r="B45" s="14"/>
      <c r="E45" s="22"/>
      <c r="G45" s="22"/>
      <c r="H45" s="22"/>
      <c r="I45" s="22"/>
      <c r="Q45" t="str">
        <f>IF(D45&gt;0,IF(D45="Unit",CONCATENATE(Settings!P45," ",Settings!D45,"s"),CONCATENATE((Settings!P45/Settings!L45)," ",Settings!D45,"s")),"")</f>
        <v/>
      </c>
    </row>
    <row r="46" spans="1:17" x14ac:dyDescent="0.3">
      <c r="A46" s="13"/>
      <c r="B46" s="14"/>
      <c r="E46" s="22"/>
      <c r="G46" s="22"/>
      <c r="H46" s="22"/>
      <c r="I46" s="22"/>
      <c r="Q46" t="str">
        <f>IF(D46&gt;0,IF(D46="Unit",CONCATENATE(Settings!P46," ",Settings!D46,"s"),CONCATENATE((Settings!P46/Settings!L46)," ",Settings!D46,"s")),"")</f>
        <v/>
      </c>
    </row>
    <row r="47" spans="1:17" x14ac:dyDescent="0.3">
      <c r="A47" s="13"/>
      <c r="B47" s="14"/>
      <c r="E47" s="22"/>
      <c r="G47" s="22"/>
      <c r="H47" s="22"/>
      <c r="I47" s="22"/>
      <c r="Q47" t="str">
        <f>IF(D47&gt;0,IF(D47="Unit",CONCATENATE(Settings!P47," ",Settings!D47,"s"),CONCATENATE((Settings!P47/Settings!L47)," ",Settings!D47,"s")),"")</f>
        <v/>
      </c>
    </row>
    <row r="48" spans="1:17" x14ac:dyDescent="0.3">
      <c r="A48" s="13"/>
      <c r="B48" s="14"/>
      <c r="E48" s="22"/>
      <c r="G48" s="22"/>
      <c r="H48" s="22"/>
      <c r="I48" s="22"/>
      <c r="Q48" t="str">
        <f>IF(D48&gt;0,IF(D48="Unit",CONCATENATE(Settings!P48," ",Settings!D48,"s"),CONCATENATE((Settings!P48/Settings!L48)," ",Settings!D48,"s")),"")</f>
        <v/>
      </c>
    </row>
    <row r="49" spans="1:17" x14ac:dyDescent="0.3">
      <c r="A49" s="13"/>
      <c r="B49" s="14"/>
      <c r="E49" s="22"/>
      <c r="G49" s="22"/>
      <c r="H49" s="22"/>
      <c r="I49" s="22"/>
      <c r="Q49" t="str">
        <f>IF(D49&gt;0,IF(D49="Unit",CONCATENATE(Settings!P49," ",Settings!D49,"s"),CONCATENATE((Settings!P49/Settings!L49)," ",Settings!D49,"s")),"")</f>
        <v/>
      </c>
    </row>
    <row r="50" spans="1:17" x14ac:dyDescent="0.3">
      <c r="A50" s="13"/>
      <c r="B50" s="14"/>
      <c r="E50" s="22"/>
      <c r="G50" s="22"/>
      <c r="H50" s="22"/>
      <c r="I50" s="22"/>
      <c r="Q50" t="str">
        <f>IF(D50&gt;0,IF(D50="Unit",CONCATENATE(Settings!P50," ",Settings!D50,"s"),CONCATENATE((Settings!P50/Settings!L50)," ",Settings!D50,"s")),"")</f>
        <v/>
      </c>
    </row>
    <row r="51" spans="1:17" x14ac:dyDescent="0.3">
      <c r="A51" s="13"/>
      <c r="B51" s="14"/>
      <c r="E51" s="22"/>
      <c r="G51" s="22"/>
      <c r="H51" s="22"/>
      <c r="I51" s="22"/>
      <c r="Q51" t="str">
        <f>IF(D51&gt;0,IF(D51="Unit",CONCATENATE(Settings!P51," ",Settings!D51,"s"),CONCATENATE((Settings!P51/Settings!L51)," ",Settings!D51,"s")),"")</f>
        <v/>
      </c>
    </row>
    <row r="52" spans="1:17" x14ac:dyDescent="0.3">
      <c r="A52" s="15"/>
      <c r="B52" s="16"/>
      <c r="E52" s="22"/>
      <c r="G52" s="22"/>
      <c r="H52" s="22"/>
      <c r="I52" s="22"/>
      <c r="Q52" t="str">
        <f>IF(D52&gt;0,IF(D52="Unit",CONCATENATE(Settings!P52," ",Settings!D52,"s"),CONCATENATE((Settings!P52/Settings!L52)," ",Settings!D52,"s")),"")</f>
        <v/>
      </c>
    </row>
  </sheetData>
  <pageMargins left="0.7" right="0.7" top="0.75" bottom="0.75" header="0.3" footer="0.3"/>
  <pageSetup paperSize="9" orientation="portrait" horizontalDpi="4294967294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444eecc-14bb-4066-abe6-ce6de21d943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372E8CCA016418A193AD921508903" ma:contentTypeVersion="9" ma:contentTypeDescription="Create a new document." ma:contentTypeScope="" ma:versionID="f5e922417d740f1a527805650dc2dfa9">
  <xsd:schema xmlns:xsd="http://www.w3.org/2001/XMLSchema" xmlns:xs="http://www.w3.org/2001/XMLSchema" xmlns:p="http://schemas.microsoft.com/office/2006/metadata/properties" xmlns:ns2="399317f3-0083-4d0b-9572-12af99626311" xmlns:ns3="1444eecc-14bb-4066-abe6-ce6de21d9439" targetNamespace="http://schemas.microsoft.com/office/2006/metadata/properties" ma:root="true" ma:fieldsID="078d79524add6eac9b94134ca637184e" ns2:_="" ns3:_="">
    <xsd:import namespace="399317f3-0083-4d0b-9572-12af99626311"/>
    <xsd:import namespace="1444eecc-14bb-4066-abe6-ce6de21d9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317f3-0083-4d0b-9572-12af99626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4eecc-14bb-4066-abe6-ce6de21d943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E950A-5812-419E-B174-6A5D9B8E0414}">
  <ds:schemaRefs>
    <ds:schemaRef ds:uri="http://schemas.microsoft.com/office/2006/metadata/properties"/>
    <ds:schemaRef ds:uri="http://schemas.microsoft.com/office/infopath/2007/PartnerControls"/>
    <ds:schemaRef ds:uri="1444eecc-14bb-4066-abe6-ce6de21d9439"/>
  </ds:schemaRefs>
</ds:datastoreItem>
</file>

<file path=customXml/itemProps2.xml><?xml version="1.0" encoding="utf-8"?>
<ds:datastoreItem xmlns:ds="http://schemas.openxmlformats.org/officeDocument/2006/customXml" ds:itemID="{8CF88A1C-AA0D-4F8F-A0FD-6F3FAFCA9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317f3-0083-4d0b-9572-12af99626311"/>
    <ds:schemaRef ds:uri="1444eecc-14bb-4066-abe6-ce6de21d9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0E6A9-20DD-4842-9306-307EB080AF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Quotation</vt:lpstr>
      <vt:lpstr>Settings</vt:lpstr>
      <vt:lpstr>Quotation!Afdrukbereik</vt:lpstr>
      <vt:lpstr>Quotation!Afdruktitels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Lemaire Wouter</dc:creator>
  <cp:lastModifiedBy>Nils Vanderheyden</cp:lastModifiedBy>
  <cp:lastPrinted>2021-06-03T08:52:36Z</cp:lastPrinted>
  <dcterms:created xsi:type="dcterms:W3CDTF">2021-05-14T05:44:12Z</dcterms:created>
  <dcterms:modified xsi:type="dcterms:W3CDTF">2021-06-20T09:28:23Z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14163000</vt:r8>
  </property>
  <property fmtid="{D5CDD505-2E9C-101B-9397-08002B2CF9AE}" pid="3" name="ContentTypeId">
    <vt:lpwstr>0x01010075F372E8CCA016418A193AD921508903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</Properties>
</file>